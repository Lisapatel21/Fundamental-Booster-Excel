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Instructions" sheetId="1" r:id="rId5"/>
    <sheet state="visible" name="Students Grade" sheetId="2" r:id="rId6"/>
    <sheet state="visible" name="Sales Data" sheetId="3" r:id="rId7"/>
    <sheet state="visible" name="Employee Data" sheetId="4" r:id="rId8"/>
  </sheets>
  <definedNames/>
  <calcPr/>
</workbook>
</file>

<file path=xl/sharedStrings.xml><?xml version="1.0" encoding="utf-8"?>
<sst xmlns="http://schemas.openxmlformats.org/spreadsheetml/2006/main" count="198" uniqueCount="150">
  <si>
    <t>PR. 1 Fundamental Booster</t>
  </si>
  <si>
    <r>
      <rPr>
        <rFont val="Calibri, sans-serif"/>
        <b/>
        <color rgb="FF000000"/>
        <sz val="11.0"/>
      </rPr>
      <t xml:space="preserve">Topics:
</t>
    </r>
    <r>
      <rPr>
        <rFont val="Calibri, sans-serif"/>
        <color rgb="FF000000"/>
        <sz val="11.0"/>
      </rPr>
      <t xml:space="preserve"> - Relative &amp; Absolute References, Formatting, Data Input
 - IF Formulas, Nested IFs, IF with AND/OR
 - COUNTIFS, SUMIFS, AVERAGEIFS
 - Lookup Functions (VLOOKUP, XLOOKUP, XMATCH)
 - INDEX/MATCH for dynamic searches
 - TEXT Functions for string manipulations
 - INDIRECT and OFFSET for dynamic references
 - Date/Time, Math Functions, FILTER function</t>
    </r>
    <r>
      <rPr>
        <rFont val="Calibri, sans-serif"/>
        <b/>
        <color rgb="FF000000"/>
        <sz val="11.0"/>
      </rPr>
      <t xml:space="preserve">
</t>
    </r>
    <r>
      <rPr>
        <rFont val="Calibri, sans-serif"/>
        <color rgb="FF000000"/>
        <sz val="11.0"/>
      </rPr>
      <t xml:space="preserve">  
</t>
    </r>
    <r>
      <rPr>
        <rFont val="Calibri, sans-serif"/>
        <b/>
        <color rgb="FF38761D"/>
        <sz val="11.0"/>
      </rPr>
      <t>Main Tasks:</t>
    </r>
    <r>
      <rPr>
        <rFont val="Calibri, sans-serif"/>
        <color rgb="FF38761D"/>
        <sz val="11.0"/>
      </rPr>
      <t xml:space="preserve">
 1. Apply IF formulas to classify student grades.
 2. Use COUNTIFS to count students scoring above 60.
 3. Use VLOOKUP to find a product price from sales data.
 4. Apply XLOOKUP to fetch employee salaries dynamically.
 5. Format and analyze date of joining in Employee data.
 6. Use FILTER function to extract students with grades above 80.</t>
    </r>
    <r>
      <rPr>
        <rFont val="Calibri, sans-serif"/>
        <color rgb="FF000000"/>
        <sz val="11.0"/>
      </rPr>
      <t xml:space="preserve">
</t>
    </r>
    <r>
      <rPr>
        <rFont val="Calibri, sans-serif"/>
        <b/>
        <color rgb="FF000000"/>
        <sz val="11.0"/>
      </rPr>
      <t xml:space="preserve">Deliverable:
</t>
    </r>
    <r>
      <rPr>
        <rFont val="Calibri, sans-serif"/>
        <color rgb="FF000000"/>
        <sz val="11.0"/>
      </rPr>
      <t>Complete the given worksheets by applying the required formulas in respective sheets.</t>
    </r>
  </si>
  <si>
    <t>Essential Tasks</t>
  </si>
  <si>
    <t>Relative &amp; Absolute Cell References, Formatting, and Data Input</t>
  </si>
  <si>
    <t>Enter and format data (bold, italic, currency, date, custom formats).</t>
  </si>
  <si>
    <t>Use absolute ($A$1) and relative (A1) references in formulas.</t>
  </si>
  <si>
    <t>Using IF Formula &amp; Nesting IF Formulas</t>
  </si>
  <si>
    <t>Classify students' grades based on their scores.</t>
  </si>
  <si>
    <t>Compute discounts for sales based on price thresholds.</t>
  </si>
  <si>
    <t>Using IF with AND/OR Formulas</t>
  </si>
  <si>
    <t>Identify students who scored above 80 in both Math &amp; Science using IF(AND(...)).</t>
  </si>
  <si>
    <t>Determine whether a product is eligible for discount using IF(OR(...)).</t>
  </si>
  <si>
    <t>COUNTIFS, SUMIFS, AVERAGEIFS</t>
  </si>
  <si>
    <t>Count the number of students who scored above 50 in Math.</t>
  </si>
  <si>
    <t>Sum total sales for a specific region and product.</t>
  </si>
  <si>
    <t>Calculate the average score for students who scored above 60.</t>
  </si>
  <si>
    <t>VLOOKUP Function</t>
  </si>
  <si>
    <t>Fetch student names based on ID from a separate dataset.</t>
  </si>
  <si>
    <t>Retrieve product prices based on product codes.</t>
  </si>
  <si>
    <t>INDEX and MATCH Functions</t>
  </si>
  <si>
    <t>Find sales values for a specific salesperson in a specific month.</t>
  </si>
  <si>
    <t>Look up employee details dynamically without column restrictions.</t>
  </si>
  <si>
    <t>Excel TEXT Functions</t>
  </si>
  <si>
    <t>Extract the first name from full names using LEFT and FIND.</t>
  </si>
  <si>
    <t>Convert names to uppercase/lowercase using UPPER(), LOWER().</t>
  </si>
  <si>
    <t>XLOOKUP Function</t>
  </si>
  <si>
    <t>Search for salesperson performance based on flexible search criteria.</t>
  </si>
  <si>
    <t>Find employee salaries without worrying about sorted data.</t>
  </si>
  <si>
    <t>XMATCH Function</t>
  </si>
  <si>
    <t>Find the position of a product in a sales list.</t>
  </si>
  <si>
    <t>INDIRECT Function</t>
  </si>
  <si>
    <t>Dynamically reference a cell range using INDIRECT.</t>
  </si>
  <si>
    <t>OFFSET Function</t>
  </si>
  <si>
    <t>Create dynamic ranges for sales trends.</t>
  </si>
  <si>
    <t>Date and Time Functions</t>
  </si>
  <si>
    <t>Calculate age from date of birth.</t>
  </si>
  <si>
    <t>Find the difference in days between two dates.</t>
  </si>
  <si>
    <t>Math Functions</t>
  </si>
  <si>
    <t>Use ROUND(), CEILING(), and FLOOR() for financial calculations.</t>
  </si>
  <si>
    <t>Return Multiple Values using FILTER Function</t>
  </si>
  <si>
    <t>Extract a list of top-performing students based on scores.</t>
  </si>
  <si>
    <t>Student ID</t>
  </si>
  <si>
    <t>Name</t>
  </si>
  <si>
    <t>Math</t>
  </si>
  <si>
    <t>Science</t>
  </si>
  <si>
    <t>English</t>
  </si>
  <si>
    <t>Enrollment Date</t>
  </si>
  <si>
    <t>Average</t>
  </si>
  <si>
    <t>Grade</t>
  </si>
  <si>
    <t>Student Score Above 80 in Both Math And Science</t>
  </si>
  <si>
    <t>Student Scoring Above 60 In Math (COUNTIFIES)</t>
  </si>
  <si>
    <t>Total Marks For High Performers across all subjects (SUMIFS)</t>
  </si>
  <si>
    <t>Average Score for Students Above 60 in Math (AVERAGEIFS)</t>
  </si>
  <si>
    <t>Student 1</t>
  </si>
  <si>
    <t>Student 2</t>
  </si>
  <si>
    <t>Student 3</t>
  </si>
  <si>
    <t>Student 4</t>
  </si>
  <si>
    <t>Student 5</t>
  </si>
  <si>
    <t>Student 6</t>
  </si>
  <si>
    <t>Student 7</t>
  </si>
  <si>
    <t>Student 8</t>
  </si>
  <si>
    <t>Student 9</t>
  </si>
  <si>
    <t>Student 10</t>
  </si>
  <si>
    <t>Student 11</t>
  </si>
  <si>
    <t>Student 12</t>
  </si>
  <si>
    <t>Student 13</t>
  </si>
  <si>
    <t>Student 14</t>
  </si>
  <si>
    <t>Student 15</t>
  </si>
  <si>
    <t>Student 16</t>
  </si>
  <si>
    <t>Student 17</t>
  </si>
  <si>
    <t>Student 18</t>
  </si>
  <si>
    <t>Student 19</t>
  </si>
  <si>
    <t>Student 20</t>
  </si>
  <si>
    <t>Sales ID</t>
  </si>
  <si>
    <t>Product</t>
  </si>
  <si>
    <t>Region</t>
  </si>
  <si>
    <t>Salesperson</t>
  </si>
  <si>
    <t>Amount</t>
  </si>
  <si>
    <t>Date</t>
  </si>
  <si>
    <t>Check Discount Amount</t>
  </si>
  <si>
    <t>Check Discount Eligibility</t>
  </si>
  <si>
    <t>Sum Total Sales For Specific Region And Product</t>
  </si>
  <si>
    <t>Search Input</t>
  </si>
  <si>
    <t>VLOOKUP</t>
  </si>
  <si>
    <t>INDEX/MATCH RESULT</t>
  </si>
  <si>
    <t>XMATCH</t>
  </si>
  <si>
    <t>Keyboard</t>
  </si>
  <si>
    <t>South</t>
  </si>
  <si>
    <t>Person 1</t>
  </si>
  <si>
    <t>Printer</t>
  </si>
  <si>
    <t>West</t>
  </si>
  <si>
    <t>Person 2</t>
  </si>
  <si>
    <t>Mouse</t>
  </si>
  <si>
    <t>Person 3</t>
  </si>
  <si>
    <t>East</t>
  </si>
  <si>
    <t>Person 4</t>
  </si>
  <si>
    <t>North</t>
  </si>
  <si>
    <t>Person 5</t>
  </si>
  <si>
    <t>Person 6</t>
  </si>
  <si>
    <t>Person 7</t>
  </si>
  <si>
    <t>Person 8</t>
  </si>
  <si>
    <t>Person 9</t>
  </si>
  <si>
    <t>Person 10</t>
  </si>
  <si>
    <t>Person 11</t>
  </si>
  <si>
    <t>Monitor</t>
  </si>
  <si>
    <t>Person 12</t>
  </si>
  <si>
    <t>Laptop</t>
  </si>
  <si>
    <t>Person 13</t>
  </si>
  <si>
    <t>Person 14</t>
  </si>
  <si>
    <t>Person 15</t>
  </si>
  <si>
    <t>Person 16</t>
  </si>
  <si>
    <t>Person 17</t>
  </si>
  <si>
    <t>Person 18</t>
  </si>
  <si>
    <t>Person 19</t>
  </si>
  <si>
    <t>Person 20</t>
  </si>
  <si>
    <t>Employee ID</t>
  </si>
  <si>
    <t>Department</t>
  </si>
  <si>
    <t>Salary</t>
  </si>
  <si>
    <t>Joining Date</t>
  </si>
  <si>
    <t>First Name From Full Name</t>
  </si>
  <si>
    <t>XLOOKUP</t>
  </si>
  <si>
    <t>Convert Name To Uppercase (UPPER)</t>
  </si>
  <si>
    <t>Calculate Years of Service/ Age from Joining Date</t>
  </si>
  <si>
    <t>Round</t>
  </si>
  <si>
    <t>Ceiling</t>
  </si>
  <si>
    <t>Floor</t>
  </si>
  <si>
    <t xml:space="preserve">Aarav Sharma </t>
  </si>
  <si>
    <t>Finance</t>
  </si>
  <si>
    <t>Aananya Patel</t>
  </si>
  <si>
    <t>Rohan Mehat</t>
  </si>
  <si>
    <t>HR</t>
  </si>
  <si>
    <t xml:space="preserve">Priya Verma </t>
  </si>
  <si>
    <t>Vikram Joshi</t>
  </si>
  <si>
    <t>IT</t>
  </si>
  <si>
    <t>Sneha Kulkarni</t>
  </si>
  <si>
    <t>Aditya Rao</t>
  </si>
  <si>
    <t>Marketing</t>
  </si>
  <si>
    <t>Kavya Iyer</t>
  </si>
  <si>
    <t>Siddharth Nair</t>
  </si>
  <si>
    <t>Pooja Gupta</t>
  </si>
  <si>
    <t>Rahul Deshmukh</t>
  </si>
  <si>
    <t>Neha Agrawal</t>
  </si>
  <si>
    <t>Varun Malhotra</t>
  </si>
  <si>
    <t>Riya Kapoor</t>
  </si>
  <si>
    <t xml:space="preserve">Arjun Singh </t>
  </si>
  <si>
    <t>Meera Reddy</t>
  </si>
  <si>
    <t>Karan Bhatia</t>
  </si>
  <si>
    <t>Ishita Shah</t>
  </si>
  <si>
    <t>Davendra Pandey</t>
  </si>
  <si>
    <t>Simran Saxena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</si>
</sst>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h:mm:ss"/>
    <numFmt numFmtId="165" formatCode="dd/MM/yyyy"/>
  </numFmts>
  <fonts count="5">
    <font>
      <sz val="11.0"/>
      <color theme="1"/>
      <name val="Calibri"/>
      <scheme val="minor"/>
    </font>
    <font>
      <b/>
      <color theme="1"/>
      <name val="Calibri"/>
      <scheme val="minor"/>
    </font>
    <font>
      <color theme="1"/>
      <name val="Calibri"/>
      <scheme val="minor"/>
    </font>
    <font>
      <sz val="11.0"/>
      <color rgb="FF000000"/>
      <name val="Calibri"/>
    </font>
    <font>
      <b/>
      <sz val="11.0"/>
      <color rgb="FF000000"/>
      <name val="Calibri"/>
    </font>
  </fonts>
  <fills count="3">
    <fill>
      <patternFill patternType="none"/>
    </fill>
    <fill>
      <patternFill patternType="lightGray"/>
    </fill>
    <fill>
      <patternFill patternType="solid">
        <fgColor rgb="FFFFF2CC"/>
        <bgColor rgb="FFFFF2CC"/>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0" fillId="0" fontId="2" numFmtId="0" xfId="0" applyAlignment="1" applyFont="1">
      <alignment vertical="center"/>
    </xf>
    <xf borderId="1" fillId="0" fontId="3" numFmtId="0" xfId="0" applyAlignment="1" applyBorder="1" applyFont="1">
      <alignment readingOrder="0" vertical="center"/>
    </xf>
    <xf borderId="0" fillId="0" fontId="2" numFmtId="0" xfId="0" applyAlignment="1" applyFont="1">
      <alignment readingOrder="0" vertical="center"/>
    </xf>
    <xf borderId="1" fillId="0" fontId="1" numFmtId="0" xfId="0" applyAlignment="1" applyBorder="1" applyFont="1">
      <alignment readingOrder="0" vertical="center"/>
    </xf>
    <xf borderId="1" fillId="0" fontId="2" numFmtId="0" xfId="0" applyAlignment="1" applyBorder="1" applyFont="1">
      <alignment readingOrder="0" vertical="center"/>
    </xf>
    <xf borderId="1" fillId="0" fontId="2" numFmtId="0" xfId="0" applyAlignment="1" applyBorder="1" applyFont="1">
      <alignment vertical="center"/>
    </xf>
    <xf borderId="1" fillId="2" fontId="4" numFmtId="0" xfId="0" applyAlignment="1" applyBorder="1" applyFill="1" applyFont="1">
      <alignment horizontal="center" readingOrder="0" shrinkToFit="0" vertical="center" wrapText="0"/>
    </xf>
    <xf borderId="0" fillId="0" fontId="1" numFmtId="0" xfId="0" applyAlignment="1" applyFont="1">
      <alignment horizontal="center" readingOrder="0" vertical="center"/>
    </xf>
    <xf borderId="0" fillId="0" fontId="2" numFmtId="0" xfId="0" applyAlignment="1" applyFont="1">
      <alignment horizontal="center" vertical="center"/>
    </xf>
    <xf borderId="1" fillId="0" fontId="3" numFmtId="0" xfId="0" applyAlignment="1" applyBorder="1" applyFont="1">
      <alignment horizontal="center" readingOrder="0" shrinkToFit="0" vertical="center" wrapText="0"/>
    </xf>
    <xf borderId="1" fillId="0" fontId="3" numFmtId="164" xfId="0" applyAlignment="1" applyBorder="1" applyFont="1" applyNumberFormat="1">
      <alignment horizontal="center" readingOrder="0" shrinkToFit="0" vertical="center" wrapText="0"/>
    </xf>
    <xf borderId="0" fillId="0" fontId="2" numFmtId="0" xfId="0" applyAlignment="1" applyFont="1">
      <alignment horizontal="center" readingOrder="0" vertical="center"/>
    </xf>
    <xf borderId="1" fillId="2" fontId="4" numFmtId="165" xfId="0" applyAlignment="1" applyBorder="1" applyFill="1" applyFont="1" applyNumberFormat="1">
      <alignment horizontal="center" readingOrder="0"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75.43"/>
  </cols>
  <sheetData>
    <row r="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4"/>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2"/>
      <c r="B4" s="2"/>
      <c r="C4" s="2"/>
      <c r="D4" s="2"/>
      <c r="E4" s="2"/>
      <c r="F4" s="2"/>
      <c r="G4" s="2"/>
      <c r="H4" s="2"/>
      <c r="I4" s="2"/>
      <c r="J4" s="2"/>
      <c r="K4" s="2"/>
      <c r="L4" s="2"/>
      <c r="M4" s="2"/>
      <c r="N4" s="2"/>
      <c r="O4" s="2"/>
      <c r="P4" s="2"/>
      <c r="Q4" s="2"/>
      <c r="R4" s="2"/>
      <c r="S4" s="2"/>
      <c r="T4" s="2"/>
      <c r="U4" s="2"/>
      <c r="V4" s="2"/>
      <c r="W4" s="2"/>
      <c r="X4" s="2"/>
      <c r="Y4" s="2"/>
      <c r="Z4" s="2"/>
    </row>
    <row r="5">
      <c r="A5" s="1" t="s">
        <v>2</v>
      </c>
      <c r="B5" s="2"/>
      <c r="C5" s="2"/>
      <c r="D5" s="2"/>
      <c r="E5" s="2"/>
      <c r="F5" s="2"/>
      <c r="G5" s="2"/>
      <c r="H5" s="2"/>
      <c r="I5" s="2"/>
      <c r="J5" s="2"/>
      <c r="K5" s="2"/>
      <c r="L5" s="2"/>
      <c r="M5" s="2"/>
      <c r="N5" s="2"/>
      <c r="O5" s="2"/>
      <c r="P5" s="2"/>
      <c r="Q5" s="2"/>
      <c r="R5" s="2"/>
      <c r="S5" s="2"/>
      <c r="T5" s="2"/>
      <c r="U5" s="2"/>
      <c r="V5" s="2"/>
      <c r="W5" s="2"/>
      <c r="X5" s="2"/>
      <c r="Y5" s="2"/>
      <c r="Z5" s="2"/>
    </row>
    <row r="6">
      <c r="A6" s="5" t="s">
        <v>3</v>
      </c>
      <c r="B6" s="2"/>
      <c r="C6" s="2"/>
      <c r="D6" s="2"/>
      <c r="E6" s="2"/>
      <c r="F6" s="2"/>
      <c r="G6" s="2"/>
      <c r="H6" s="2"/>
      <c r="I6" s="2"/>
      <c r="J6" s="2"/>
      <c r="K6" s="2"/>
      <c r="L6" s="2"/>
      <c r="M6" s="2"/>
      <c r="N6" s="2"/>
      <c r="O6" s="2"/>
      <c r="P6" s="2"/>
      <c r="Q6" s="2"/>
      <c r="R6" s="2"/>
      <c r="S6" s="2"/>
      <c r="T6" s="2"/>
      <c r="U6" s="2"/>
      <c r="V6" s="2"/>
      <c r="W6" s="2"/>
      <c r="X6" s="2"/>
      <c r="Y6" s="2"/>
      <c r="Z6" s="2"/>
    </row>
    <row r="7">
      <c r="A7" s="6" t="s">
        <v>4</v>
      </c>
      <c r="B7" s="2"/>
      <c r="C7" s="2"/>
      <c r="D7" s="2"/>
      <c r="E7" s="2"/>
      <c r="F7" s="2"/>
      <c r="G7" s="2"/>
      <c r="H7" s="2"/>
      <c r="I7" s="2"/>
      <c r="J7" s="2"/>
      <c r="K7" s="2"/>
      <c r="L7" s="2"/>
      <c r="M7" s="2"/>
      <c r="N7" s="2"/>
      <c r="O7" s="2"/>
      <c r="P7" s="2"/>
      <c r="Q7" s="2"/>
      <c r="R7" s="2"/>
      <c r="S7" s="2"/>
      <c r="T7" s="2"/>
      <c r="U7" s="2"/>
      <c r="V7" s="2"/>
      <c r="W7" s="2"/>
      <c r="X7" s="2"/>
      <c r="Y7" s="2"/>
      <c r="Z7" s="2"/>
    </row>
    <row r="8">
      <c r="A8" s="6" t="s">
        <v>5</v>
      </c>
      <c r="B8" s="2"/>
      <c r="C8" s="2"/>
      <c r="D8" s="2"/>
      <c r="E8" s="2"/>
      <c r="F8" s="2"/>
      <c r="G8" s="2"/>
      <c r="H8" s="2"/>
      <c r="I8" s="2"/>
      <c r="J8" s="2"/>
      <c r="K8" s="2"/>
      <c r="L8" s="2"/>
      <c r="M8" s="2"/>
      <c r="N8" s="2"/>
      <c r="O8" s="2"/>
      <c r="P8" s="2"/>
      <c r="Q8" s="2"/>
      <c r="R8" s="2"/>
      <c r="S8" s="2"/>
      <c r="T8" s="2"/>
      <c r="U8" s="2"/>
      <c r="V8" s="2"/>
      <c r="W8" s="2"/>
      <c r="X8" s="2"/>
      <c r="Y8" s="2"/>
      <c r="Z8" s="2"/>
    </row>
    <row r="9">
      <c r="A9" s="7"/>
      <c r="B9" s="2"/>
      <c r="C9" s="2"/>
      <c r="D9" s="2"/>
      <c r="E9" s="2"/>
      <c r="F9" s="2"/>
      <c r="G9" s="2"/>
      <c r="H9" s="2"/>
      <c r="I9" s="2"/>
      <c r="J9" s="2"/>
      <c r="K9" s="2"/>
      <c r="L9" s="2"/>
      <c r="M9" s="2"/>
      <c r="N9" s="2"/>
      <c r="O9" s="2"/>
      <c r="P9" s="2"/>
      <c r="Q9" s="2"/>
      <c r="R9" s="2"/>
      <c r="S9" s="2"/>
      <c r="T9" s="2"/>
      <c r="U9" s="2"/>
      <c r="V9" s="2"/>
      <c r="W9" s="2"/>
      <c r="X9" s="2"/>
      <c r="Y9" s="2"/>
      <c r="Z9" s="2"/>
    </row>
    <row r="10">
      <c r="A10" s="5" t="s">
        <v>6</v>
      </c>
      <c r="B10" s="2"/>
      <c r="C10" s="2"/>
      <c r="D10" s="2"/>
      <c r="E10" s="2"/>
      <c r="F10" s="2"/>
      <c r="G10" s="2"/>
      <c r="H10" s="2"/>
      <c r="I10" s="2"/>
      <c r="J10" s="2"/>
      <c r="K10" s="2"/>
      <c r="L10" s="2"/>
      <c r="M10" s="2"/>
      <c r="N10" s="2"/>
      <c r="O10" s="2"/>
      <c r="P10" s="2"/>
      <c r="Q10" s="2"/>
      <c r="R10" s="2"/>
      <c r="S10" s="2"/>
      <c r="T10" s="2"/>
      <c r="U10" s="2"/>
      <c r="V10" s="2"/>
      <c r="W10" s="2"/>
      <c r="X10" s="2"/>
      <c r="Y10" s="2"/>
      <c r="Z10" s="2"/>
    </row>
    <row r="11">
      <c r="A11" s="6" t="s">
        <v>7</v>
      </c>
      <c r="B11" s="2"/>
      <c r="C11" s="2"/>
      <c r="D11" s="2"/>
      <c r="E11" s="2"/>
      <c r="F11" s="2"/>
      <c r="G11" s="2"/>
      <c r="H11" s="2"/>
      <c r="I11" s="2"/>
      <c r="J11" s="2"/>
      <c r="K11" s="2"/>
      <c r="L11" s="2"/>
      <c r="M11" s="2"/>
      <c r="N11" s="2"/>
      <c r="O11" s="2"/>
      <c r="P11" s="2"/>
      <c r="Q11" s="2"/>
      <c r="R11" s="2"/>
      <c r="S11" s="2"/>
      <c r="T11" s="2"/>
      <c r="U11" s="2"/>
      <c r="V11" s="2"/>
      <c r="W11" s="2"/>
      <c r="X11" s="2"/>
      <c r="Y11" s="2"/>
      <c r="Z11" s="2"/>
    </row>
    <row r="12">
      <c r="A12" s="6" t="s">
        <v>8</v>
      </c>
      <c r="B12" s="2"/>
      <c r="C12" s="2"/>
      <c r="D12" s="2"/>
      <c r="E12" s="2"/>
      <c r="F12" s="2"/>
      <c r="G12" s="2"/>
      <c r="H12" s="2"/>
      <c r="I12" s="2"/>
      <c r="J12" s="2"/>
      <c r="K12" s="2"/>
      <c r="L12" s="2"/>
      <c r="M12" s="2"/>
      <c r="N12" s="2"/>
      <c r="O12" s="2"/>
      <c r="P12" s="2"/>
      <c r="Q12" s="2"/>
      <c r="R12" s="2"/>
      <c r="S12" s="2"/>
      <c r="T12" s="2"/>
      <c r="U12" s="2"/>
      <c r="V12" s="2"/>
      <c r="W12" s="2"/>
      <c r="X12" s="2"/>
      <c r="Y12" s="2"/>
      <c r="Z12" s="2"/>
    </row>
    <row r="13">
      <c r="A13" s="7"/>
      <c r="B13" s="2"/>
      <c r="C13" s="2"/>
      <c r="D13" s="2"/>
      <c r="E13" s="2"/>
      <c r="F13" s="2"/>
      <c r="G13" s="2"/>
      <c r="H13" s="2"/>
      <c r="I13" s="2"/>
      <c r="J13" s="2"/>
      <c r="K13" s="2"/>
      <c r="L13" s="2"/>
      <c r="M13" s="2"/>
      <c r="N13" s="2"/>
      <c r="O13" s="2"/>
      <c r="P13" s="2"/>
      <c r="Q13" s="2"/>
      <c r="R13" s="2"/>
      <c r="S13" s="2"/>
      <c r="T13" s="2"/>
      <c r="U13" s="2"/>
      <c r="V13" s="2"/>
      <c r="W13" s="2"/>
      <c r="X13" s="2"/>
      <c r="Y13" s="2"/>
      <c r="Z13" s="2"/>
    </row>
    <row r="14">
      <c r="A14" s="5" t="s">
        <v>9</v>
      </c>
      <c r="B14" s="2"/>
      <c r="C14" s="2"/>
      <c r="D14" s="2"/>
      <c r="E14" s="2"/>
      <c r="F14" s="2"/>
      <c r="G14" s="2"/>
      <c r="H14" s="2"/>
      <c r="I14" s="2"/>
      <c r="J14" s="2"/>
      <c r="K14" s="2"/>
      <c r="L14" s="2"/>
      <c r="M14" s="2"/>
      <c r="N14" s="2"/>
      <c r="O14" s="2"/>
      <c r="P14" s="2"/>
      <c r="Q14" s="2"/>
      <c r="R14" s="2"/>
      <c r="S14" s="2"/>
      <c r="T14" s="2"/>
      <c r="U14" s="2"/>
      <c r="V14" s="2"/>
      <c r="W14" s="2"/>
      <c r="X14" s="2"/>
      <c r="Y14" s="2"/>
      <c r="Z14" s="2"/>
    </row>
    <row r="15">
      <c r="A15" s="6" t="s">
        <v>10</v>
      </c>
      <c r="B15" s="2"/>
      <c r="C15" s="2"/>
      <c r="D15" s="2"/>
      <c r="E15" s="2"/>
      <c r="F15" s="2"/>
      <c r="G15" s="2"/>
      <c r="H15" s="2"/>
      <c r="I15" s="2"/>
      <c r="J15" s="2"/>
      <c r="K15" s="2"/>
      <c r="L15" s="2"/>
      <c r="M15" s="2"/>
      <c r="N15" s="2"/>
      <c r="O15" s="2"/>
      <c r="P15" s="2"/>
      <c r="Q15" s="2"/>
      <c r="R15" s="2"/>
      <c r="S15" s="2"/>
      <c r="T15" s="2"/>
      <c r="U15" s="2"/>
      <c r="V15" s="2"/>
      <c r="W15" s="2"/>
      <c r="X15" s="2"/>
      <c r="Y15" s="2"/>
      <c r="Z15" s="2"/>
    </row>
    <row r="16">
      <c r="A16" s="6" t="s">
        <v>11</v>
      </c>
      <c r="B16" s="2"/>
      <c r="C16" s="2"/>
      <c r="D16" s="2"/>
      <c r="E16" s="2"/>
      <c r="F16" s="2"/>
      <c r="G16" s="2"/>
      <c r="H16" s="2"/>
      <c r="I16" s="2"/>
      <c r="J16" s="2"/>
      <c r="K16" s="2"/>
      <c r="L16" s="2"/>
      <c r="M16" s="2"/>
      <c r="N16" s="2"/>
      <c r="O16" s="2"/>
      <c r="P16" s="2"/>
      <c r="Q16" s="2"/>
      <c r="R16" s="2"/>
      <c r="S16" s="2"/>
      <c r="T16" s="2"/>
      <c r="U16" s="2"/>
      <c r="V16" s="2"/>
      <c r="W16" s="2"/>
      <c r="X16" s="2"/>
      <c r="Y16" s="2"/>
      <c r="Z16" s="2"/>
    </row>
    <row r="17">
      <c r="A17" s="7"/>
      <c r="B17" s="2"/>
      <c r="C17" s="2"/>
      <c r="D17" s="2"/>
      <c r="E17" s="2"/>
      <c r="F17" s="2"/>
      <c r="G17" s="2"/>
      <c r="H17" s="2"/>
      <c r="I17" s="2"/>
      <c r="J17" s="2"/>
      <c r="K17" s="2"/>
      <c r="L17" s="2"/>
      <c r="M17" s="2"/>
      <c r="N17" s="2"/>
      <c r="O17" s="2"/>
      <c r="P17" s="2"/>
      <c r="Q17" s="2"/>
      <c r="R17" s="2"/>
      <c r="S17" s="2"/>
      <c r="T17" s="2"/>
      <c r="U17" s="2"/>
      <c r="V17" s="2"/>
      <c r="W17" s="2"/>
      <c r="X17" s="2"/>
      <c r="Y17" s="2"/>
      <c r="Z17" s="2"/>
    </row>
    <row r="18">
      <c r="A18" s="5" t="s">
        <v>12</v>
      </c>
      <c r="B18" s="2"/>
      <c r="C18" s="2"/>
      <c r="D18" s="2"/>
      <c r="E18" s="2"/>
      <c r="F18" s="2"/>
      <c r="G18" s="2"/>
      <c r="H18" s="2"/>
      <c r="I18" s="2"/>
      <c r="J18" s="2"/>
      <c r="K18" s="2"/>
      <c r="L18" s="2"/>
      <c r="M18" s="2"/>
      <c r="N18" s="2"/>
      <c r="O18" s="2"/>
      <c r="P18" s="2"/>
      <c r="Q18" s="2"/>
      <c r="R18" s="2"/>
      <c r="S18" s="2"/>
      <c r="T18" s="2"/>
      <c r="U18" s="2"/>
      <c r="V18" s="2"/>
      <c r="W18" s="2"/>
      <c r="X18" s="2"/>
      <c r="Y18" s="2"/>
      <c r="Z18" s="2"/>
    </row>
    <row r="19">
      <c r="A19" s="6" t="s">
        <v>13</v>
      </c>
      <c r="B19" s="2"/>
      <c r="C19" s="2"/>
      <c r="D19" s="2"/>
      <c r="E19" s="2"/>
      <c r="F19" s="2"/>
      <c r="G19" s="2"/>
      <c r="H19" s="2"/>
      <c r="I19" s="2"/>
      <c r="J19" s="2"/>
      <c r="K19" s="2"/>
      <c r="L19" s="2"/>
      <c r="M19" s="2"/>
      <c r="N19" s="2"/>
      <c r="O19" s="2"/>
      <c r="P19" s="2"/>
      <c r="Q19" s="2"/>
      <c r="R19" s="2"/>
      <c r="S19" s="2"/>
      <c r="T19" s="2"/>
      <c r="U19" s="2"/>
      <c r="V19" s="2"/>
      <c r="W19" s="2"/>
      <c r="X19" s="2"/>
      <c r="Y19" s="2"/>
      <c r="Z19" s="2"/>
    </row>
    <row r="20">
      <c r="A20" s="6" t="s">
        <v>14</v>
      </c>
      <c r="B20" s="2"/>
      <c r="C20" s="2"/>
      <c r="D20" s="2"/>
      <c r="E20" s="2"/>
      <c r="F20" s="2"/>
      <c r="G20" s="2"/>
      <c r="H20" s="2"/>
      <c r="I20" s="2"/>
      <c r="J20" s="2"/>
      <c r="K20" s="2"/>
      <c r="L20" s="2"/>
      <c r="M20" s="2"/>
      <c r="N20" s="2"/>
      <c r="O20" s="2"/>
      <c r="P20" s="2"/>
      <c r="Q20" s="2"/>
      <c r="R20" s="2"/>
      <c r="S20" s="2"/>
      <c r="T20" s="2"/>
      <c r="U20" s="2"/>
      <c r="V20" s="2"/>
      <c r="W20" s="2"/>
      <c r="X20" s="2"/>
      <c r="Y20" s="2"/>
      <c r="Z20" s="2"/>
    </row>
    <row r="21">
      <c r="A21" s="6" t="s">
        <v>15</v>
      </c>
      <c r="B21" s="2"/>
      <c r="C21" s="2"/>
      <c r="D21" s="2"/>
      <c r="E21" s="2"/>
      <c r="F21" s="2"/>
      <c r="G21" s="2"/>
      <c r="H21" s="2"/>
      <c r="I21" s="2"/>
      <c r="J21" s="2"/>
      <c r="K21" s="2"/>
      <c r="L21" s="2"/>
      <c r="M21" s="2"/>
      <c r="N21" s="2"/>
      <c r="O21" s="2"/>
      <c r="P21" s="2"/>
      <c r="Q21" s="2"/>
      <c r="R21" s="2"/>
      <c r="S21" s="2"/>
      <c r="T21" s="2"/>
      <c r="U21" s="2"/>
      <c r="V21" s="2"/>
      <c r="W21" s="2"/>
      <c r="X21" s="2"/>
      <c r="Y21" s="2"/>
      <c r="Z21" s="2"/>
    </row>
    <row r="22">
      <c r="A22" s="7"/>
      <c r="B22" s="2"/>
      <c r="C22" s="2"/>
      <c r="D22" s="2"/>
      <c r="E22" s="2"/>
      <c r="F22" s="2"/>
      <c r="G22" s="2"/>
      <c r="H22" s="2"/>
      <c r="I22" s="2"/>
      <c r="J22" s="2"/>
      <c r="K22" s="2"/>
      <c r="L22" s="2"/>
      <c r="M22" s="2"/>
      <c r="N22" s="2"/>
      <c r="O22" s="2"/>
      <c r="P22" s="2"/>
      <c r="Q22" s="2"/>
      <c r="R22" s="2"/>
      <c r="S22" s="2"/>
      <c r="T22" s="2"/>
      <c r="U22" s="2"/>
      <c r="V22" s="2"/>
      <c r="W22" s="2"/>
      <c r="X22" s="2"/>
      <c r="Y22" s="2"/>
      <c r="Z22" s="2"/>
    </row>
    <row r="23">
      <c r="A23" s="5" t="s">
        <v>16</v>
      </c>
      <c r="B23" s="2"/>
      <c r="C23" s="2"/>
      <c r="D23" s="2"/>
      <c r="E23" s="2"/>
      <c r="F23" s="2"/>
      <c r="G23" s="2"/>
      <c r="H23" s="2"/>
      <c r="I23" s="2"/>
      <c r="J23" s="2"/>
      <c r="K23" s="2"/>
      <c r="L23" s="2"/>
      <c r="M23" s="2"/>
      <c r="N23" s="2"/>
      <c r="O23" s="2"/>
      <c r="P23" s="2"/>
      <c r="Q23" s="2"/>
      <c r="R23" s="2"/>
      <c r="S23" s="2"/>
      <c r="T23" s="2"/>
      <c r="U23" s="2"/>
      <c r="V23" s="2"/>
      <c r="W23" s="2"/>
      <c r="X23" s="2"/>
      <c r="Y23" s="2"/>
      <c r="Z23" s="2"/>
    </row>
    <row r="24">
      <c r="A24" s="6" t="s">
        <v>17</v>
      </c>
      <c r="B24" s="2"/>
      <c r="C24" s="2"/>
      <c r="D24" s="2"/>
      <c r="E24" s="2"/>
      <c r="F24" s="2"/>
      <c r="G24" s="2"/>
      <c r="H24" s="2"/>
      <c r="I24" s="2"/>
      <c r="J24" s="2"/>
      <c r="K24" s="2"/>
      <c r="L24" s="2"/>
      <c r="M24" s="2"/>
      <c r="N24" s="2"/>
      <c r="O24" s="2"/>
      <c r="P24" s="2"/>
      <c r="Q24" s="2"/>
      <c r="R24" s="2"/>
      <c r="S24" s="2"/>
      <c r="T24" s="2"/>
      <c r="U24" s="2"/>
      <c r="V24" s="2"/>
      <c r="W24" s="2"/>
      <c r="X24" s="2"/>
      <c r="Y24" s="2"/>
      <c r="Z24" s="2"/>
    </row>
    <row r="25">
      <c r="A25" s="6" t="s">
        <v>18</v>
      </c>
      <c r="B25" s="2"/>
      <c r="C25" s="2"/>
      <c r="D25" s="2"/>
      <c r="E25" s="2"/>
      <c r="F25" s="2"/>
      <c r="G25" s="2"/>
      <c r="H25" s="2"/>
      <c r="I25" s="2"/>
      <c r="J25" s="2"/>
      <c r="K25" s="2"/>
      <c r="L25" s="2"/>
      <c r="M25" s="2"/>
      <c r="N25" s="2"/>
      <c r="O25" s="2"/>
      <c r="P25" s="2"/>
      <c r="Q25" s="2"/>
      <c r="R25" s="2"/>
      <c r="S25" s="2"/>
      <c r="T25" s="2"/>
      <c r="U25" s="2"/>
      <c r="V25" s="2"/>
      <c r="W25" s="2"/>
      <c r="X25" s="2"/>
      <c r="Y25" s="2"/>
      <c r="Z25" s="2"/>
    </row>
    <row r="26">
      <c r="A26" s="7"/>
      <c r="B26" s="2"/>
      <c r="C26" s="2"/>
      <c r="D26" s="2"/>
      <c r="E26" s="2"/>
      <c r="F26" s="2"/>
      <c r="G26" s="2"/>
      <c r="H26" s="2"/>
      <c r="I26" s="2"/>
      <c r="J26" s="2"/>
      <c r="K26" s="2"/>
      <c r="L26" s="2"/>
      <c r="M26" s="2"/>
      <c r="N26" s="2"/>
      <c r="O26" s="2"/>
      <c r="P26" s="2"/>
      <c r="Q26" s="2"/>
      <c r="R26" s="2"/>
      <c r="S26" s="2"/>
      <c r="T26" s="2"/>
      <c r="U26" s="2"/>
      <c r="V26" s="2"/>
      <c r="W26" s="2"/>
      <c r="X26" s="2"/>
      <c r="Y26" s="2"/>
      <c r="Z26" s="2"/>
    </row>
    <row r="27">
      <c r="A27" s="5" t="s">
        <v>19</v>
      </c>
      <c r="B27" s="2"/>
      <c r="C27" s="2"/>
      <c r="D27" s="2"/>
      <c r="E27" s="2"/>
      <c r="F27" s="2"/>
      <c r="G27" s="2"/>
      <c r="H27" s="2"/>
      <c r="I27" s="2"/>
      <c r="J27" s="2"/>
      <c r="K27" s="2"/>
      <c r="L27" s="2"/>
      <c r="M27" s="2"/>
      <c r="N27" s="2"/>
      <c r="O27" s="2"/>
      <c r="P27" s="2"/>
      <c r="Q27" s="2"/>
      <c r="R27" s="2"/>
      <c r="S27" s="2"/>
      <c r="T27" s="2"/>
      <c r="U27" s="2"/>
      <c r="V27" s="2"/>
      <c r="W27" s="2"/>
      <c r="X27" s="2"/>
      <c r="Y27" s="2"/>
      <c r="Z27" s="2"/>
    </row>
    <row r="28">
      <c r="A28" s="6" t="s">
        <v>20</v>
      </c>
      <c r="B28" s="2"/>
      <c r="C28" s="2"/>
      <c r="D28" s="2"/>
      <c r="E28" s="2"/>
      <c r="F28" s="2"/>
      <c r="G28" s="2"/>
      <c r="H28" s="2"/>
      <c r="I28" s="2"/>
      <c r="J28" s="2"/>
      <c r="K28" s="2"/>
      <c r="L28" s="2"/>
      <c r="M28" s="2"/>
      <c r="N28" s="2"/>
      <c r="O28" s="2"/>
      <c r="P28" s="2"/>
      <c r="Q28" s="2"/>
      <c r="R28" s="2"/>
      <c r="S28" s="2"/>
      <c r="T28" s="2"/>
      <c r="U28" s="2"/>
      <c r="V28" s="2"/>
      <c r="W28" s="2"/>
      <c r="X28" s="2"/>
      <c r="Y28" s="2"/>
      <c r="Z28" s="2"/>
    </row>
    <row r="29">
      <c r="A29" s="6" t="s">
        <v>21</v>
      </c>
      <c r="B29" s="2"/>
      <c r="C29" s="2"/>
      <c r="D29" s="2"/>
      <c r="E29" s="2"/>
      <c r="F29" s="2"/>
      <c r="G29" s="2"/>
      <c r="H29" s="2"/>
      <c r="I29" s="2"/>
      <c r="J29" s="2"/>
      <c r="K29" s="2"/>
      <c r="L29" s="2"/>
      <c r="M29" s="2"/>
      <c r="N29" s="2"/>
      <c r="O29" s="2"/>
      <c r="P29" s="2"/>
      <c r="Q29" s="2"/>
      <c r="R29" s="2"/>
      <c r="S29" s="2"/>
      <c r="T29" s="2"/>
      <c r="U29" s="2"/>
      <c r="V29" s="2"/>
      <c r="W29" s="2"/>
      <c r="X29" s="2"/>
      <c r="Y29" s="2"/>
      <c r="Z29" s="2"/>
    </row>
    <row r="30">
      <c r="A30" s="7"/>
      <c r="B30" s="2"/>
      <c r="C30" s="2"/>
      <c r="D30" s="2"/>
      <c r="E30" s="2"/>
      <c r="F30" s="2"/>
      <c r="G30" s="2"/>
      <c r="H30" s="2"/>
      <c r="I30" s="2"/>
      <c r="J30" s="2"/>
      <c r="K30" s="2"/>
      <c r="L30" s="2"/>
      <c r="M30" s="2"/>
      <c r="N30" s="2"/>
      <c r="O30" s="2"/>
      <c r="P30" s="2"/>
      <c r="Q30" s="2"/>
      <c r="R30" s="2"/>
      <c r="S30" s="2"/>
      <c r="T30" s="2"/>
      <c r="U30" s="2"/>
      <c r="V30" s="2"/>
      <c r="W30" s="2"/>
      <c r="X30" s="2"/>
      <c r="Y30" s="2"/>
      <c r="Z30" s="2"/>
    </row>
    <row r="31">
      <c r="A31" s="5" t="s">
        <v>22</v>
      </c>
      <c r="B31" s="2"/>
      <c r="C31" s="2"/>
      <c r="D31" s="2"/>
      <c r="E31" s="2"/>
      <c r="F31" s="2"/>
      <c r="G31" s="2"/>
      <c r="H31" s="2"/>
      <c r="I31" s="2"/>
      <c r="J31" s="2"/>
      <c r="K31" s="2"/>
      <c r="L31" s="2"/>
      <c r="M31" s="2"/>
      <c r="N31" s="2"/>
      <c r="O31" s="2"/>
      <c r="P31" s="2"/>
      <c r="Q31" s="2"/>
      <c r="R31" s="2"/>
      <c r="S31" s="2"/>
      <c r="T31" s="2"/>
      <c r="U31" s="2"/>
      <c r="V31" s="2"/>
      <c r="W31" s="2"/>
      <c r="X31" s="2"/>
      <c r="Y31" s="2"/>
      <c r="Z31" s="2"/>
    </row>
    <row r="32">
      <c r="A32" s="6" t="s">
        <v>23</v>
      </c>
      <c r="B32" s="2"/>
      <c r="C32" s="2"/>
      <c r="D32" s="2"/>
      <c r="E32" s="2"/>
      <c r="F32" s="2"/>
      <c r="G32" s="2"/>
      <c r="H32" s="2"/>
      <c r="I32" s="2"/>
      <c r="J32" s="2"/>
      <c r="K32" s="2"/>
      <c r="L32" s="2"/>
      <c r="M32" s="2"/>
      <c r="N32" s="2"/>
      <c r="O32" s="2"/>
      <c r="P32" s="2"/>
      <c r="Q32" s="2"/>
      <c r="R32" s="2"/>
      <c r="S32" s="2"/>
      <c r="T32" s="2"/>
      <c r="U32" s="2"/>
      <c r="V32" s="2"/>
      <c r="W32" s="2"/>
      <c r="X32" s="2"/>
      <c r="Y32" s="2"/>
      <c r="Z32" s="2"/>
    </row>
    <row r="33">
      <c r="A33" s="6" t="s">
        <v>24</v>
      </c>
      <c r="B33" s="2"/>
      <c r="C33" s="2"/>
      <c r="D33" s="2"/>
      <c r="E33" s="2"/>
      <c r="F33" s="2"/>
      <c r="G33" s="2"/>
      <c r="H33" s="2"/>
      <c r="I33" s="2"/>
      <c r="J33" s="2"/>
      <c r="K33" s="2"/>
      <c r="L33" s="2"/>
      <c r="M33" s="2"/>
      <c r="N33" s="2"/>
      <c r="O33" s="2"/>
      <c r="P33" s="2"/>
      <c r="Q33" s="2"/>
      <c r="R33" s="2"/>
      <c r="S33" s="2"/>
      <c r="T33" s="2"/>
      <c r="U33" s="2"/>
      <c r="V33" s="2"/>
      <c r="W33" s="2"/>
      <c r="X33" s="2"/>
      <c r="Y33" s="2"/>
      <c r="Z33" s="2"/>
    </row>
    <row r="34">
      <c r="A34" s="7"/>
      <c r="B34" s="2"/>
      <c r="C34" s="2"/>
      <c r="D34" s="2"/>
      <c r="E34" s="2"/>
      <c r="F34" s="2"/>
      <c r="G34" s="2"/>
      <c r="H34" s="2"/>
      <c r="I34" s="2"/>
      <c r="J34" s="2"/>
      <c r="K34" s="2"/>
      <c r="L34" s="2"/>
      <c r="M34" s="2"/>
      <c r="N34" s="2"/>
      <c r="O34" s="2"/>
      <c r="P34" s="2"/>
      <c r="Q34" s="2"/>
      <c r="R34" s="2"/>
      <c r="S34" s="2"/>
      <c r="T34" s="2"/>
      <c r="U34" s="2"/>
      <c r="V34" s="2"/>
      <c r="W34" s="2"/>
      <c r="X34" s="2"/>
      <c r="Y34" s="2"/>
      <c r="Z34" s="2"/>
    </row>
    <row r="35">
      <c r="A35" s="5" t="s">
        <v>25</v>
      </c>
      <c r="B35" s="2"/>
      <c r="C35" s="2"/>
      <c r="D35" s="2"/>
      <c r="E35" s="2"/>
      <c r="F35" s="2"/>
      <c r="G35" s="2"/>
      <c r="H35" s="2"/>
      <c r="I35" s="2"/>
      <c r="J35" s="2"/>
      <c r="K35" s="2"/>
      <c r="L35" s="2"/>
      <c r="M35" s="2"/>
      <c r="N35" s="2"/>
      <c r="O35" s="2"/>
      <c r="P35" s="2"/>
      <c r="Q35" s="2"/>
      <c r="R35" s="2"/>
      <c r="S35" s="2"/>
      <c r="T35" s="2"/>
      <c r="U35" s="2"/>
      <c r="V35" s="2"/>
      <c r="W35" s="2"/>
      <c r="X35" s="2"/>
      <c r="Y35" s="2"/>
      <c r="Z35" s="2"/>
    </row>
    <row r="36">
      <c r="A36" s="6" t="s">
        <v>26</v>
      </c>
      <c r="B36" s="2"/>
      <c r="C36" s="2"/>
      <c r="D36" s="2"/>
      <c r="E36" s="2"/>
      <c r="F36" s="2"/>
      <c r="G36" s="2"/>
      <c r="H36" s="2"/>
      <c r="I36" s="2"/>
      <c r="J36" s="2"/>
      <c r="K36" s="2"/>
      <c r="L36" s="2"/>
      <c r="M36" s="2"/>
      <c r="N36" s="2"/>
      <c r="O36" s="2"/>
      <c r="P36" s="2"/>
      <c r="Q36" s="2"/>
      <c r="R36" s="2"/>
      <c r="S36" s="2"/>
      <c r="T36" s="2"/>
      <c r="U36" s="2"/>
      <c r="V36" s="2"/>
      <c r="W36" s="2"/>
      <c r="X36" s="2"/>
      <c r="Y36" s="2"/>
      <c r="Z36" s="2"/>
    </row>
    <row r="37">
      <c r="A37" s="6" t="s">
        <v>27</v>
      </c>
      <c r="B37" s="2"/>
      <c r="C37" s="2"/>
      <c r="D37" s="2"/>
      <c r="E37" s="2"/>
      <c r="F37" s="2"/>
      <c r="G37" s="2"/>
      <c r="H37" s="2"/>
      <c r="I37" s="2"/>
      <c r="J37" s="2"/>
      <c r="K37" s="2"/>
      <c r="L37" s="2"/>
      <c r="M37" s="2"/>
      <c r="N37" s="2"/>
      <c r="O37" s="2"/>
      <c r="P37" s="2"/>
      <c r="Q37" s="2"/>
      <c r="R37" s="2"/>
      <c r="S37" s="2"/>
      <c r="T37" s="2"/>
      <c r="U37" s="2"/>
      <c r="V37" s="2"/>
      <c r="W37" s="2"/>
      <c r="X37" s="2"/>
      <c r="Y37" s="2"/>
      <c r="Z37" s="2"/>
    </row>
    <row r="38">
      <c r="A38" s="7"/>
      <c r="B38" s="2"/>
      <c r="C38" s="2"/>
      <c r="D38" s="2"/>
      <c r="E38" s="2"/>
      <c r="F38" s="2"/>
      <c r="G38" s="2"/>
      <c r="H38" s="2"/>
      <c r="I38" s="2"/>
      <c r="J38" s="2"/>
      <c r="K38" s="2"/>
      <c r="L38" s="2"/>
      <c r="M38" s="2"/>
      <c r="N38" s="2"/>
      <c r="O38" s="2"/>
      <c r="P38" s="2"/>
      <c r="Q38" s="2"/>
      <c r="R38" s="2"/>
      <c r="S38" s="2"/>
      <c r="T38" s="2"/>
      <c r="U38" s="2"/>
      <c r="V38" s="2"/>
      <c r="W38" s="2"/>
      <c r="X38" s="2"/>
      <c r="Y38" s="2"/>
      <c r="Z38" s="2"/>
    </row>
    <row r="39">
      <c r="A39" s="5" t="s">
        <v>28</v>
      </c>
      <c r="B39" s="2"/>
      <c r="C39" s="2"/>
      <c r="D39" s="2"/>
      <c r="E39" s="2"/>
      <c r="F39" s="2"/>
      <c r="G39" s="2"/>
      <c r="H39" s="2"/>
      <c r="I39" s="2"/>
      <c r="J39" s="2"/>
      <c r="K39" s="2"/>
      <c r="L39" s="2"/>
      <c r="M39" s="2"/>
      <c r="N39" s="2"/>
      <c r="O39" s="2"/>
      <c r="P39" s="2"/>
      <c r="Q39" s="2"/>
      <c r="R39" s="2"/>
      <c r="S39" s="2"/>
      <c r="T39" s="2"/>
      <c r="U39" s="2"/>
      <c r="V39" s="2"/>
      <c r="W39" s="2"/>
      <c r="X39" s="2"/>
      <c r="Y39" s="2"/>
      <c r="Z39" s="2"/>
    </row>
    <row r="40">
      <c r="A40" s="6" t="s">
        <v>29</v>
      </c>
      <c r="B40" s="2"/>
      <c r="C40" s="2"/>
      <c r="D40" s="2"/>
      <c r="E40" s="2"/>
      <c r="F40" s="2"/>
      <c r="G40" s="2"/>
      <c r="H40" s="2"/>
      <c r="I40" s="2"/>
      <c r="J40" s="2"/>
      <c r="K40" s="2"/>
      <c r="L40" s="2"/>
      <c r="M40" s="2"/>
      <c r="N40" s="2"/>
      <c r="O40" s="2"/>
      <c r="P40" s="2"/>
      <c r="Q40" s="2"/>
      <c r="R40" s="2"/>
      <c r="S40" s="2"/>
      <c r="T40" s="2"/>
      <c r="U40" s="2"/>
      <c r="V40" s="2"/>
      <c r="W40" s="2"/>
      <c r="X40" s="2"/>
      <c r="Y40" s="2"/>
      <c r="Z40" s="2"/>
    </row>
    <row r="41">
      <c r="A41" s="7"/>
      <c r="B41" s="2"/>
      <c r="C41" s="2"/>
      <c r="D41" s="2"/>
      <c r="E41" s="2"/>
      <c r="F41" s="2"/>
      <c r="G41" s="2"/>
      <c r="H41" s="2"/>
      <c r="I41" s="2"/>
      <c r="J41" s="2"/>
      <c r="K41" s="2"/>
      <c r="L41" s="2"/>
      <c r="M41" s="2"/>
      <c r="N41" s="2"/>
      <c r="O41" s="2"/>
      <c r="P41" s="2"/>
      <c r="Q41" s="2"/>
      <c r="R41" s="2"/>
      <c r="S41" s="2"/>
      <c r="T41" s="2"/>
      <c r="U41" s="2"/>
      <c r="V41" s="2"/>
      <c r="W41" s="2"/>
      <c r="X41" s="2"/>
      <c r="Y41" s="2"/>
      <c r="Z41" s="2"/>
    </row>
    <row r="42">
      <c r="A42" s="5" t="s">
        <v>30</v>
      </c>
      <c r="B42" s="2"/>
      <c r="C42" s="2"/>
      <c r="D42" s="2"/>
      <c r="E42" s="2"/>
      <c r="F42" s="2"/>
      <c r="G42" s="2"/>
      <c r="H42" s="2"/>
      <c r="I42" s="2"/>
      <c r="J42" s="2"/>
      <c r="K42" s="2"/>
      <c r="L42" s="2"/>
      <c r="M42" s="2"/>
      <c r="N42" s="2"/>
      <c r="O42" s="2"/>
      <c r="P42" s="2"/>
      <c r="Q42" s="2"/>
      <c r="R42" s="2"/>
      <c r="S42" s="2"/>
      <c r="T42" s="2"/>
      <c r="U42" s="2"/>
      <c r="V42" s="2"/>
      <c r="W42" s="2"/>
      <c r="X42" s="2"/>
      <c r="Y42" s="2"/>
      <c r="Z42" s="2"/>
    </row>
    <row r="43">
      <c r="A43" s="6" t="s">
        <v>31</v>
      </c>
      <c r="B43" s="2"/>
      <c r="C43" s="2"/>
      <c r="D43" s="2"/>
      <c r="E43" s="2"/>
      <c r="F43" s="2"/>
      <c r="G43" s="2"/>
      <c r="H43" s="2"/>
      <c r="I43" s="2"/>
      <c r="J43" s="2"/>
      <c r="K43" s="2"/>
      <c r="L43" s="2"/>
      <c r="M43" s="2"/>
      <c r="N43" s="2"/>
      <c r="O43" s="2"/>
      <c r="P43" s="2"/>
      <c r="Q43" s="2"/>
      <c r="R43" s="2"/>
      <c r="S43" s="2"/>
      <c r="T43" s="2"/>
      <c r="U43" s="2"/>
      <c r="V43" s="2"/>
      <c r="W43" s="2"/>
      <c r="X43" s="2"/>
      <c r="Y43" s="2"/>
      <c r="Z43" s="2"/>
    </row>
    <row r="44">
      <c r="A44" s="7"/>
      <c r="B44" s="2"/>
      <c r="C44" s="2"/>
      <c r="D44" s="2"/>
      <c r="E44" s="2"/>
      <c r="F44" s="2"/>
      <c r="G44" s="2"/>
      <c r="H44" s="2"/>
      <c r="I44" s="2"/>
      <c r="J44" s="2"/>
      <c r="K44" s="2"/>
      <c r="L44" s="2"/>
      <c r="M44" s="2"/>
      <c r="N44" s="2"/>
      <c r="O44" s="2"/>
      <c r="P44" s="2"/>
      <c r="Q44" s="2"/>
      <c r="R44" s="2"/>
      <c r="S44" s="2"/>
      <c r="T44" s="2"/>
      <c r="U44" s="2"/>
      <c r="V44" s="2"/>
      <c r="W44" s="2"/>
      <c r="X44" s="2"/>
      <c r="Y44" s="2"/>
      <c r="Z44" s="2"/>
    </row>
    <row r="45">
      <c r="A45" s="5" t="s">
        <v>32</v>
      </c>
      <c r="B45" s="2"/>
      <c r="C45" s="2"/>
      <c r="D45" s="2"/>
      <c r="E45" s="2"/>
      <c r="F45" s="2"/>
      <c r="G45" s="2"/>
      <c r="H45" s="2"/>
      <c r="I45" s="2"/>
      <c r="J45" s="2"/>
      <c r="K45" s="2"/>
      <c r="L45" s="2"/>
      <c r="M45" s="2"/>
      <c r="N45" s="2"/>
      <c r="O45" s="2"/>
      <c r="P45" s="2"/>
      <c r="Q45" s="2"/>
      <c r="R45" s="2"/>
      <c r="S45" s="2"/>
      <c r="T45" s="2"/>
      <c r="U45" s="2"/>
      <c r="V45" s="2"/>
      <c r="W45" s="2"/>
      <c r="X45" s="2"/>
      <c r="Y45" s="2"/>
      <c r="Z45" s="2"/>
    </row>
    <row r="46">
      <c r="A46" s="6" t="s">
        <v>33</v>
      </c>
      <c r="B46" s="2"/>
      <c r="C46" s="2"/>
      <c r="D46" s="2"/>
      <c r="E46" s="2"/>
      <c r="F46" s="2"/>
      <c r="G46" s="2"/>
      <c r="H46" s="2"/>
      <c r="I46" s="2"/>
      <c r="J46" s="2"/>
      <c r="K46" s="2"/>
      <c r="L46" s="2"/>
      <c r="M46" s="2"/>
      <c r="N46" s="2"/>
      <c r="O46" s="2"/>
      <c r="P46" s="2"/>
      <c r="Q46" s="2"/>
      <c r="R46" s="2"/>
      <c r="S46" s="2"/>
      <c r="T46" s="2"/>
      <c r="U46" s="2"/>
      <c r="V46" s="2"/>
      <c r="W46" s="2"/>
      <c r="X46" s="2"/>
      <c r="Y46" s="2"/>
      <c r="Z46" s="2"/>
    </row>
    <row r="47">
      <c r="A47" s="7"/>
      <c r="B47" s="2"/>
      <c r="C47" s="2"/>
      <c r="D47" s="2"/>
      <c r="E47" s="2"/>
      <c r="F47" s="2"/>
      <c r="G47" s="2"/>
      <c r="H47" s="2"/>
      <c r="I47" s="2"/>
      <c r="J47" s="2"/>
      <c r="K47" s="2"/>
      <c r="L47" s="2"/>
      <c r="M47" s="2"/>
      <c r="N47" s="2"/>
      <c r="O47" s="2"/>
      <c r="P47" s="2"/>
      <c r="Q47" s="2"/>
      <c r="R47" s="2"/>
      <c r="S47" s="2"/>
      <c r="T47" s="2"/>
      <c r="U47" s="2"/>
      <c r="V47" s="2"/>
      <c r="W47" s="2"/>
      <c r="X47" s="2"/>
      <c r="Y47" s="2"/>
      <c r="Z47" s="2"/>
    </row>
    <row r="48">
      <c r="A48" s="5" t="s">
        <v>34</v>
      </c>
      <c r="B48" s="2"/>
      <c r="C48" s="2"/>
      <c r="D48" s="2"/>
      <c r="E48" s="2"/>
      <c r="F48" s="2"/>
      <c r="G48" s="2"/>
      <c r="H48" s="2"/>
      <c r="I48" s="2"/>
      <c r="J48" s="2"/>
      <c r="K48" s="2"/>
      <c r="L48" s="2"/>
      <c r="M48" s="2"/>
      <c r="N48" s="2"/>
      <c r="O48" s="2"/>
      <c r="P48" s="2"/>
      <c r="Q48" s="2"/>
      <c r="R48" s="2"/>
      <c r="S48" s="2"/>
      <c r="T48" s="2"/>
      <c r="U48" s="2"/>
      <c r="V48" s="2"/>
      <c r="W48" s="2"/>
      <c r="X48" s="2"/>
      <c r="Y48" s="2"/>
      <c r="Z48" s="2"/>
    </row>
    <row r="49">
      <c r="A49" s="6" t="s">
        <v>35</v>
      </c>
      <c r="B49" s="2"/>
      <c r="C49" s="2"/>
      <c r="D49" s="2"/>
      <c r="E49" s="2"/>
      <c r="F49" s="2"/>
      <c r="G49" s="2"/>
      <c r="H49" s="2"/>
      <c r="I49" s="2"/>
      <c r="J49" s="2"/>
      <c r="K49" s="2"/>
      <c r="L49" s="2"/>
      <c r="M49" s="2"/>
      <c r="N49" s="2"/>
      <c r="O49" s="2"/>
      <c r="P49" s="2"/>
      <c r="Q49" s="2"/>
      <c r="R49" s="2"/>
      <c r="S49" s="2"/>
      <c r="T49" s="2"/>
      <c r="U49" s="2"/>
      <c r="V49" s="2"/>
      <c r="W49" s="2"/>
      <c r="X49" s="2"/>
      <c r="Y49" s="2"/>
      <c r="Z49" s="2"/>
    </row>
    <row r="50">
      <c r="A50" s="6" t="s">
        <v>36</v>
      </c>
      <c r="B50" s="2"/>
      <c r="C50" s="2"/>
      <c r="D50" s="2"/>
      <c r="E50" s="2"/>
      <c r="F50" s="2"/>
      <c r="G50" s="2"/>
      <c r="H50" s="2"/>
      <c r="I50" s="2"/>
      <c r="J50" s="2"/>
      <c r="K50" s="2"/>
      <c r="L50" s="2"/>
      <c r="M50" s="2"/>
      <c r="N50" s="2"/>
      <c r="O50" s="2"/>
      <c r="P50" s="2"/>
      <c r="Q50" s="2"/>
      <c r="R50" s="2"/>
      <c r="S50" s="2"/>
      <c r="T50" s="2"/>
      <c r="U50" s="2"/>
      <c r="V50" s="2"/>
      <c r="W50" s="2"/>
      <c r="X50" s="2"/>
      <c r="Y50" s="2"/>
      <c r="Z50" s="2"/>
    </row>
    <row r="51">
      <c r="A51" s="7"/>
      <c r="B51" s="2"/>
      <c r="C51" s="2"/>
      <c r="D51" s="2"/>
      <c r="E51" s="2"/>
      <c r="F51" s="2"/>
      <c r="G51" s="2"/>
      <c r="H51" s="2"/>
      <c r="I51" s="2"/>
      <c r="J51" s="2"/>
      <c r="K51" s="2"/>
      <c r="L51" s="2"/>
      <c r="M51" s="2"/>
      <c r="N51" s="2"/>
      <c r="O51" s="2"/>
      <c r="P51" s="2"/>
      <c r="Q51" s="2"/>
      <c r="R51" s="2"/>
      <c r="S51" s="2"/>
      <c r="T51" s="2"/>
      <c r="U51" s="2"/>
      <c r="V51" s="2"/>
      <c r="W51" s="2"/>
      <c r="X51" s="2"/>
      <c r="Y51" s="2"/>
      <c r="Z51" s="2"/>
    </row>
    <row r="52">
      <c r="A52" s="5" t="s">
        <v>37</v>
      </c>
      <c r="B52" s="2"/>
      <c r="C52" s="2"/>
      <c r="D52" s="2"/>
      <c r="E52" s="2"/>
      <c r="F52" s="2"/>
      <c r="G52" s="2"/>
      <c r="H52" s="2"/>
      <c r="I52" s="2"/>
      <c r="J52" s="2"/>
      <c r="K52" s="2"/>
      <c r="L52" s="2"/>
      <c r="M52" s="2"/>
      <c r="N52" s="2"/>
      <c r="O52" s="2"/>
      <c r="P52" s="2"/>
      <c r="Q52" s="2"/>
      <c r="R52" s="2"/>
      <c r="S52" s="2"/>
      <c r="T52" s="2"/>
      <c r="U52" s="2"/>
      <c r="V52" s="2"/>
      <c r="W52" s="2"/>
      <c r="X52" s="2"/>
      <c r="Y52" s="2"/>
      <c r="Z52" s="2"/>
    </row>
    <row r="53">
      <c r="A53" s="6" t="s">
        <v>38</v>
      </c>
      <c r="B53" s="2"/>
      <c r="C53" s="2"/>
      <c r="D53" s="2"/>
      <c r="E53" s="2"/>
      <c r="F53" s="2"/>
      <c r="G53" s="2"/>
      <c r="H53" s="2"/>
      <c r="I53" s="2"/>
      <c r="J53" s="2"/>
      <c r="K53" s="2"/>
      <c r="L53" s="2"/>
      <c r="M53" s="2"/>
      <c r="N53" s="2"/>
      <c r="O53" s="2"/>
      <c r="P53" s="2"/>
      <c r="Q53" s="2"/>
      <c r="R53" s="2"/>
      <c r="S53" s="2"/>
      <c r="T53" s="2"/>
      <c r="U53" s="2"/>
      <c r="V53" s="2"/>
      <c r="W53" s="2"/>
      <c r="X53" s="2"/>
      <c r="Y53" s="2"/>
      <c r="Z53" s="2"/>
    </row>
    <row r="54">
      <c r="A54" s="7"/>
      <c r="B54" s="2"/>
      <c r="C54" s="2"/>
      <c r="D54" s="2"/>
      <c r="E54" s="2"/>
      <c r="F54" s="2"/>
      <c r="G54" s="2"/>
      <c r="H54" s="2"/>
      <c r="I54" s="2"/>
      <c r="J54" s="2"/>
      <c r="K54" s="2"/>
      <c r="L54" s="2"/>
      <c r="M54" s="2"/>
      <c r="N54" s="2"/>
      <c r="O54" s="2"/>
      <c r="P54" s="2"/>
      <c r="Q54" s="2"/>
      <c r="R54" s="2"/>
      <c r="S54" s="2"/>
      <c r="T54" s="2"/>
      <c r="U54" s="2"/>
      <c r="V54" s="2"/>
      <c r="W54" s="2"/>
      <c r="X54" s="2"/>
      <c r="Y54" s="2"/>
      <c r="Z54" s="2"/>
    </row>
    <row r="55">
      <c r="A55" s="5" t="s">
        <v>39</v>
      </c>
      <c r="B55" s="2"/>
      <c r="C55" s="2"/>
      <c r="D55" s="2"/>
      <c r="E55" s="2"/>
      <c r="F55" s="2"/>
      <c r="G55" s="2"/>
      <c r="H55" s="2"/>
      <c r="I55" s="2"/>
      <c r="J55" s="2"/>
      <c r="K55" s="2"/>
      <c r="L55" s="2"/>
      <c r="M55" s="2"/>
      <c r="N55" s="2"/>
      <c r="O55" s="2"/>
      <c r="P55" s="2"/>
      <c r="Q55" s="2"/>
      <c r="R55" s="2"/>
      <c r="S55" s="2"/>
      <c r="T55" s="2"/>
      <c r="U55" s="2"/>
      <c r="V55" s="2"/>
      <c r="W55" s="2"/>
      <c r="X55" s="2"/>
      <c r="Y55" s="2"/>
      <c r="Z55" s="2"/>
    </row>
    <row r="56">
      <c r="A56" s="6" t="s">
        <v>40</v>
      </c>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0.43"/>
    <col customWidth="1" min="3" max="3" width="5.86"/>
    <col customWidth="1" min="4" max="4" width="7.57"/>
    <col customWidth="1" min="5" max="5" width="7.29"/>
    <col customWidth="1" min="6" max="6" width="18.86"/>
    <col customWidth="1" min="7" max="7" width="11.57"/>
    <col customWidth="1" min="8" max="8" width="12.0"/>
    <col customWidth="1" min="9" max="9" width="45.57"/>
    <col customWidth="1" min="10" max="10" width="43.71"/>
    <col customWidth="1" min="11" max="11" width="70.0"/>
    <col customWidth="1" min="12" max="12" width="52.14"/>
    <col customWidth="1" min="13" max="26" width="8.71"/>
  </cols>
  <sheetData>
    <row r="1">
      <c r="A1" s="8" t="s">
        <v>41</v>
      </c>
      <c r="B1" s="8" t="s">
        <v>42</v>
      </c>
      <c r="C1" s="8" t="s">
        <v>43</v>
      </c>
      <c r="D1" s="8" t="s">
        <v>44</v>
      </c>
      <c r="E1" s="8" t="s">
        <v>45</v>
      </c>
      <c r="F1" s="8" t="s">
        <v>46</v>
      </c>
      <c r="G1" s="9" t="s">
        <v>47</v>
      </c>
      <c r="H1" s="9" t="s">
        <v>48</v>
      </c>
      <c r="I1" s="9" t="s">
        <v>49</v>
      </c>
      <c r="J1" s="9" t="s">
        <v>50</v>
      </c>
      <c r="K1" s="9" t="s">
        <v>51</v>
      </c>
      <c r="L1" s="9" t="s">
        <v>52</v>
      </c>
      <c r="M1" s="10"/>
      <c r="N1" s="10"/>
      <c r="O1" s="10"/>
      <c r="P1" s="10"/>
      <c r="Q1" s="10"/>
      <c r="R1" s="10"/>
      <c r="S1" s="10"/>
      <c r="T1" s="10"/>
      <c r="U1" s="10"/>
      <c r="V1" s="10"/>
      <c r="W1" s="10"/>
      <c r="X1" s="10"/>
      <c r="Y1" s="10"/>
      <c r="Z1" s="10"/>
    </row>
    <row r="2">
      <c r="A2" s="11">
        <v>1001.0</v>
      </c>
      <c r="B2" s="11" t="s">
        <v>53</v>
      </c>
      <c r="C2" s="11">
        <v>61.0</v>
      </c>
      <c r="D2" s="11">
        <v>48.0</v>
      </c>
      <c r="E2" s="11">
        <v>76.0</v>
      </c>
      <c r="F2" s="12">
        <v>43101.0</v>
      </c>
      <c r="G2" s="10">
        <f t="shared" ref="G2:G21" si="1">AVERAGE(C2:E2)</f>
        <v>61.66666667</v>
      </c>
      <c r="H2" s="10" t="str">
        <f t="shared" ref="H2:H21" si="2">IF(G2&gt;=90, "A", IF(G2&gt;=80, "B", IF(G2&gt;=70, "C", IF(G2&gt;=60, "D", "F"))))</f>
        <v>D</v>
      </c>
      <c r="I2" s="10" t="str">
        <f t="shared" ref="I2:I21" si="3">IF(AND(C2&gt;80, D2&gt;80), "High Scorer", "Regular")</f>
        <v>Regular</v>
      </c>
      <c r="J2" s="10">
        <f t="shared" ref="J2:J21" si="4">COUNTIFS(C2:C21, "&gt;60")</f>
        <v>19</v>
      </c>
      <c r="K2" s="10">
        <f t="shared" ref="K2:K21" si="5">SUMIFS(G2:G21, C2:C21, "&gt;80")</f>
        <v>753.3333333</v>
      </c>
      <c r="L2" s="13">
        <f t="shared" ref="L2:L21" si="6">AVERAGEIFS(C2:C21, C2:C21, "&gt;60")</f>
        <v>82.26315789</v>
      </c>
      <c r="M2" s="10"/>
      <c r="N2" s="10"/>
      <c r="O2" s="10"/>
      <c r="P2" s="10"/>
      <c r="Q2" s="10"/>
      <c r="R2" s="10"/>
      <c r="S2" s="10"/>
      <c r="T2" s="10"/>
      <c r="U2" s="10"/>
      <c r="V2" s="10"/>
      <c r="W2" s="10"/>
      <c r="X2" s="10"/>
      <c r="Y2" s="10"/>
      <c r="Z2" s="10"/>
    </row>
    <row r="3">
      <c r="A3" s="11">
        <v>1002.0</v>
      </c>
      <c r="B3" s="11" t="s">
        <v>54</v>
      </c>
      <c r="C3" s="11">
        <v>78.0</v>
      </c>
      <c r="D3" s="11">
        <v>76.0</v>
      </c>
      <c r="E3" s="11">
        <v>70.0</v>
      </c>
      <c r="F3" s="12">
        <v>43281.0</v>
      </c>
      <c r="G3" s="10">
        <f t="shared" si="1"/>
        <v>74.66666667</v>
      </c>
      <c r="H3" s="10" t="str">
        <f t="shared" si="2"/>
        <v>C</v>
      </c>
      <c r="I3" s="10" t="str">
        <f t="shared" si="3"/>
        <v>Regular</v>
      </c>
      <c r="J3" s="10">
        <f t="shared" si="4"/>
        <v>18</v>
      </c>
      <c r="K3" s="10">
        <f t="shared" si="5"/>
        <v>753.3333333</v>
      </c>
      <c r="L3" s="13">
        <f t="shared" si="6"/>
        <v>83.44444444</v>
      </c>
      <c r="M3" s="10"/>
      <c r="N3" s="10"/>
      <c r="O3" s="10"/>
      <c r="P3" s="10"/>
      <c r="Q3" s="10"/>
      <c r="R3" s="10"/>
      <c r="S3" s="10"/>
      <c r="T3" s="10"/>
      <c r="U3" s="10"/>
      <c r="V3" s="10"/>
      <c r="W3" s="10"/>
      <c r="X3" s="10"/>
      <c r="Y3" s="10"/>
      <c r="Z3" s="10"/>
    </row>
    <row r="4">
      <c r="A4" s="11">
        <v>1003.0</v>
      </c>
      <c r="B4" s="11" t="s">
        <v>55</v>
      </c>
      <c r="C4" s="11">
        <v>97.0</v>
      </c>
      <c r="D4" s="11">
        <v>60.0</v>
      </c>
      <c r="E4" s="11">
        <v>51.0</v>
      </c>
      <c r="F4" s="12">
        <v>43461.0</v>
      </c>
      <c r="G4" s="10">
        <f t="shared" si="1"/>
        <v>69.33333333</v>
      </c>
      <c r="H4" s="10" t="str">
        <f t="shared" si="2"/>
        <v>D</v>
      </c>
      <c r="I4" s="10" t="str">
        <f t="shared" si="3"/>
        <v>Regular</v>
      </c>
      <c r="J4" s="10">
        <f t="shared" si="4"/>
        <v>17</v>
      </c>
      <c r="K4" s="10">
        <f t="shared" si="5"/>
        <v>753.3333333</v>
      </c>
      <c r="L4" s="13">
        <f t="shared" si="6"/>
        <v>83.76470588</v>
      </c>
      <c r="M4" s="10"/>
      <c r="N4" s="10"/>
      <c r="O4" s="10"/>
      <c r="P4" s="10"/>
      <c r="Q4" s="10"/>
      <c r="R4" s="10"/>
      <c r="S4" s="10"/>
      <c r="T4" s="10"/>
      <c r="U4" s="10"/>
      <c r="V4" s="10"/>
      <c r="W4" s="10"/>
      <c r="X4" s="10"/>
      <c r="Y4" s="10"/>
      <c r="Z4" s="10"/>
    </row>
    <row r="5">
      <c r="A5" s="11">
        <v>1004.0</v>
      </c>
      <c r="B5" s="11" t="s">
        <v>56</v>
      </c>
      <c r="C5" s="11">
        <v>74.0</v>
      </c>
      <c r="D5" s="11">
        <v>55.0</v>
      </c>
      <c r="E5" s="11">
        <v>46.0</v>
      </c>
      <c r="F5" s="12">
        <v>43641.0</v>
      </c>
      <c r="G5" s="10">
        <f t="shared" si="1"/>
        <v>58.33333333</v>
      </c>
      <c r="H5" s="10" t="str">
        <f t="shared" si="2"/>
        <v>F</v>
      </c>
      <c r="I5" s="10" t="str">
        <f t="shared" si="3"/>
        <v>Regular</v>
      </c>
      <c r="J5" s="10">
        <f t="shared" si="4"/>
        <v>16</v>
      </c>
      <c r="K5" s="10">
        <f t="shared" si="5"/>
        <v>684</v>
      </c>
      <c r="L5" s="13">
        <f t="shared" si="6"/>
        <v>82.9375</v>
      </c>
      <c r="M5" s="10"/>
      <c r="N5" s="10"/>
      <c r="O5" s="10"/>
      <c r="P5" s="10"/>
      <c r="Q5" s="10"/>
      <c r="R5" s="10"/>
      <c r="S5" s="10"/>
      <c r="T5" s="10"/>
      <c r="U5" s="10"/>
      <c r="V5" s="10"/>
      <c r="W5" s="10"/>
      <c r="X5" s="10"/>
      <c r="Y5" s="10"/>
      <c r="Z5" s="10"/>
    </row>
    <row r="6">
      <c r="A6" s="11">
        <v>1005.0</v>
      </c>
      <c r="B6" s="11" t="s">
        <v>57</v>
      </c>
      <c r="C6" s="11">
        <v>68.0</v>
      </c>
      <c r="D6" s="11">
        <v>74.0</v>
      </c>
      <c r="E6" s="11">
        <v>84.0</v>
      </c>
      <c r="F6" s="12">
        <v>43821.0</v>
      </c>
      <c r="G6" s="10">
        <f t="shared" si="1"/>
        <v>75.33333333</v>
      </c>
      <c r="H6" s="10" t="str">
        <f t="shared" si="2"/>
        <v>C</v>
      </c>
      <c r="I6" s="10" t="str">
        <f t="shared" si="3"/>
        <v>Regular</v>
      </c>
      <c r="J6" s="10">
        <f t="shared" si="4"/>
        <v>15</v>
      </c>
      <c r="K6" s="10">
        <f t="shared" si="5"/>
        <v>684</v>
      </c>
      <c r="L6" s="13">
        <f t="shared" si="6"/>
        <v>83.53333333</v>
      </c>
      <c r="M6" s="10"/>
      <c r="N6" s="10"/>
      <c r="O6" s="10"/>
      <c r="P6" s="10"/>
      <c r="Q6" s="10"/>
      <c r="R6" s="10"/>
      <c r="S6" s="10"/>
      <c r="T6" s="10"/>
      <c r="U6" s="10"/>
      <c r="V6" s="10"/>
      <c r="W6" s="10"/>
      <c r="X6" s="10"/>
      <c r="Y6" s="10"/>
      <c r="Z6" s="10"/>
    </row>
    <row r="7">
      <c r="A7" s="11">
        <v>1006.0</v>
      </c>
      <c r="B7" s="11" t="s">
        <v>58</v>
      </c>
      <c r="C7" s="11">
        <v>80.0</v>
      </c>
      <c r="D7" s="11">
        <v>70.0</v>
      </c>
      <c r="E7" s="11">
        <v>65.0</v>
      </c>
      <c r="F7" s="12">
        <v>44001.0</v>
      </c>
      <c r="G7" s="10">
        <f t="shared" si="1"/>
        <v>71.66666667</v>
      </c>
      <c r="H7" s="10" t="str">
        <f t="shared" si="2"/>
        <v>C</v>
      </c>
      <c r="I7" s="10" t="str">
        <f t="shared" si="3"/>
        <v>Regular</v>
      </c>
      <c r="J7" s="10">
        <f t="shared" si="4"/>
        <v>14</v>
      </c>
      <c r="K7" s="10">
        <f t="shared" si="5"/>
        <v>684</v>
      </c>
      <c r="L7" s="13">
        <f t="shared" si="6"/>
        <v>84.64285714</v>
      </c>
      <c r="M7" s="10"/>
      <c r="N7" s="10"/>
      <c r="O7" s="10"/>
      <c r="P7" s="10"/>
      <c r="Q7" s="10"/>
      <c r="R7" s="10"/>
      <c r="S7" s="10"/>
      <c r="T7" s="10"/>
      <c r="U7" s="10"/>
      <c r="V7" s="10"/>
      <c r="W7" s="10"/>
      <c r="X7" s="10"/>
      <c r="Y7" s="10"/>
      <c r="Z7" s="10"/>
    </row>
    <row r="8">
      <c r="A8" s="11">
        <v>1007.0</v>
      </c>
      <c r="B8" s="11" t="s">
        <v>59</v>
      </c>
      <c r="C8" s="11">
        <v>75.0</v>
      </c>
      <c r="D8" s="11">
        <v>47.0</v>
      </c>
      <c r="E8" s="11">
        <v>78.0</v>
      </c>
      <c r="F8" s="12">
        <v>44181.0</v>
      </c>
      <c r="G8" s="10">
        <f t="shared" si="1"/>
        <v>66.66666667</v>
      </c>
      <c r="H8" s="10" t="str">
        <f t="shared" si="2"/>
        <v>D</v>
      </c>
      <c r="I8" s="10" t="str">
        <f t="shared" si="3"/>
        <v>Regular</v>
      </c>
      <c r="J8" s="10">
        <f t="shared" si="4"/>
        <v>13</v>
      </c>
      <c r="K8" s="10">
        <f t="shared" si="5"/>
        <v>684</v>
      </c>
      <c r="L8" s="13">
        <f t="shared" si="6"/>
        <v>85</v>
      </c>
      <c r="M8" s="10"/>
      <c r="N8" s="10"/>
      <c r="O8" s="10"/>
      <c r="P8" s="10"/>
      <c r="Q8" s="10"/>
      <c r="R8" s="10"/>
      <c r="S8" s="10"/>
      <c r="T8" s="10"/>
      <c r="U8" s="10"/>
      <c r="V8" s="10"/>
      <c r="W8" s="10"/>
      <c r="X8" s="10"/>
      <c r="Y8" s="10"/>
      <c r="Z8" s="10"/>
    </row>
    <row r="9">
      <c r="A9" s="11">
        <v>1008.0</v>
      </c>
      <c r="B9" s="11" t="s">
        <v>60</v>
      </c>
      <c r="C9" s="11">
        <v>94.0</v>
      </c>
      <c r="D9" s="11">
        <v>67.0</v>
      </c>
      <c r="E9" s="11">
        <v>64.0</v>
      </c>
      <c r="F9" s="12">
        <v>44361.0</v>
      </c>
      <c r="G9" s="10">
        <f t="shared" si="1"/>
        <v>75</v>
      </c>
      <c r="H9" s="10" t="str">
        <f t="shared" si="2"/>
        <v>C</v>
      </c>
      <c r="I9" s="10" t="str">
        <f t="shared" si="3"/>
        <v>Regular</v>
      </c>
      <c r="J9" s="10">
        <f t="shared" si="4"/>
        <v>12</v>
      </c>
      <c r="K9" s="10">
        <f t="shared" si="5"/>
        <v>684</v>
      </c>
      <c r="L9" s="13">
        <f t="shared" si="6"/>
        <v>85.83333333</v>
      </c>
      <c r="M9" s="10"/>
      <c r="N9" s="10"/>
      <c r="O9" s="10"/>
      <c r="P9" s="10"/>
      <c r="Q9" s="10"/>
      <c r="R9" s="10"/>
      <c r="S9" s="10"/>
      <c r="T9" s="10"/>
      <c r="U9" s="10"/>
      <c r="V9" s="10"/>
      <c r="W9" s="10"/>
      <c r="X9" s="10"/>
      <c r="Y9" s="10"/>
      <c r="Z9" s="10"/>
    </row>
    <row r="10">
      <c r="A10" s="11">
        <v>1009.0</v>
      </c>
      <c r="B10" s="11" t="s">
        <v>61</v>
      </c>
      <c r="C10" s="11">
        <v>41.0</v>
      </c>
      <c r="D10" s="11">
        <v>75.0</v>
      </c>
      <c r="E10" s="11">
        <v>56.0</v>
      </c>
      <c r="F10" s="12">
        <v>44541.0</v>
      </c>
      <c r="G10" s="10">
        <f t="shared" si="1"/>
        <v>57.33333333</v>
      </c>
      <c r="H10" s="10" t="str">
        <f t="shared" si="2"/>
        <v>F</v>
      </c>
      <c r="I10" s="10" t="str">
        <f t="shared" si="3"/>
        <v>Regular</v>
      </c>
      <c r="J10" s="10">
        <f t="shared" si="4"/>
        <v>11</v>
      </c>
      <c r="K10" s="10">
        <f t="shared" si="5"/>
        <v>609</v>
      </c>
      <c r="L10" s="13">
        <f t="shared" si="6"/>
        <v>85.09090909</v>
      </c>
      <c r="M10" s="10"/>
      <c r="N10" s="10"/>
      <c r="O10" s="10"/>
      <c r="P10" s="10"/>
      <c r="Q10" s="10"/>
      <c r="R10" s="10"/>
      <c r="S10" s="10"/>
      <c r="T10" s="10"/>
      <c r="U10" s="10"/>
      <c r="V10" s="10"/>
      <c r="W10" s="10"/>
      <c r="X10" s="10"/>
      <c r="Y10" s="10"/>
      <c r="Z10" s="10"/>
    </row>
    <row r="11">
      <c r="A11" s="11">
        <v>1010.0</v>
      </c>
      <c r="B11" s="11" t="s">
        <v>62</v>
      </c>
      <c r="C11" s="11">
        <v>98.0</v>
      </c>
      <c r="D11" s="11">
        <v>54.0</v>
      </c>
      <c r="E11" s="11">
        <v>58.0</v>
      </c>
      <c r="F11" s="12">
        <v>44721.0</v>
      </c>
      <c r="G11" s="10">
        <f t="shared" si="1"/>
        <v>70</v>
      </c>
      <c r="H11" s="10" t="str">
        <f t="shared" si="2"/>
        <v>C</v>
      </c>
      <c r="I11" s="10" t="str">
        <f t="shared" si="3"/>
        <v>Regular</v>
      </c>
      <c r="J11" s="10">
        <f t="shared" si="4"/>
        <v>11</v>
      </c>
      <c r="K11" s="10">
        <f t="shared" si="5"/>
        <v>609</v>
      </c>
      <c r="L11" s="13">
        <f t="shared" si="6"/>
        <v>85.09090909</v>
      </c>
      <c r="M11" s="10"/>
      <c r="N11" s="10"/>
      <c r="O11" s="10"/>
      <c r="P11" s="10"/>
      <c r="Q11" s="10"/>
      <c r="R11" s="10"/>
      <c r="S11" s="10"/>
      <c r="T11" s="10"/>
      <c r="U11" s="10"/>
      <c r="V11" s="10"/>
      <c r="W11" s="10"/>
      <c r="X11" s="10"/>
      <c r="Y11" s="10"/>
      <c r="Z11" s="10"/>
    </row>
    <row r="12">
      <c r="A12" s="11">
        <v>1011.0</v>
      </c>
      <c r="B12" s="11" t="s">
        <v>63</v>
      </c>
      <c r="C12" s="11">
        <v>73.0</v>
      </c>
      <c r="D12" s="11">
        <v>79.0</v>
      </c>
      <c r="E12" s="11">
        <v>53.0</v>
      </c>
      <c r="F12" s="12">
        <v>44901.0</v>
      </c>
      <c r="G12" s="10">
        <f t="shared" si="1"/>
        <v>68.33333333</v>
      </c>
      <c r="H12" s="10" t="str">
        <f t="shared" si="2"/>
        <v>D</v>
      </c>
      <c r="I12" s="10" t="str">
        <f t="shared" si="3"/>
        <v>Regular</v>
      </c>
      <c r="J12" s="10">
        <f t="shared" si="4"/>
        <v>10</v>
      </c>
      <c r="K12" s="10">
        <f t="shared" si="5"/>
        <v>539</v>
      </c>
      <c r="L12" s="13">
        <f t="shared" si="6"/>
        <v>83.8</v>
      </c>
      <c r="M12" s="10"/>
      <c r="N12" s="10"/>
      <c r="O12" s="10"/>
      <c r="P12" s="10"/>
      <c r="Q12" s="10"/>
      <c r="R12" s="10"/>
      <c r="S12" s="10"/>
      <c r="T12" s="10"/>
      <c r="U12" s="10"/>
      <c r="V12" s="10"/>
      <c r="W12" s="10"/>
      <c r="X12" s="10"/>
      <c r="Y12" s="10"/>
      <c r="Z12" s="10"/>
    </row>
    <row r="13">
      <c r="A13" s="11">
        <v>1012.0</v>
      </c>
      <c r="B13" s="11" t="s">
        <v>64</v>
      </c>
      <c r="C13" s="11">
        <v>85.0</v>
      </c>
      <c r="D13" s="11">
        <v>89.0</v>
      </c>
      <c r="E13" s="11">
        <v>79.0</v>
      </c>
      <c r="F13" s="12">
        <v>45081.0</v>
      </c>
      <c r="G13" s="10">
        <f t="shared" si="1"/>
        <v>84.33333333</v>
      </c>
      <c r="H13" s="10" t="str">
        <f t="shared" si="2"/>
        <v>B</v>
      </c>
      <c r="I13" s="10" t="str">
        <f t="shared" si="3"/>
        <v>High Scorer</v>
      </c>
      <c r="J13" s="10">
        <f t="shared" si="4"/>
        <v>9</v>
      </c>
      <c r="K13" s="10">
        <f t="shared" si="5"/>
        <v>539</v>
      </c>
      <c r="L13" s="13">
        <f t="shared" si="6"/>
        <v>85</v>
      </c>
      <c r="M13" s="10"/>
      <c r="N13" s="10"/>
      <c r="O13" s="10"/>
      <c r="P13" s="10"/>
      <c r="Q13" s="10"/>
      <c r="R13" s="10"/>
      <c r="S13" s="10"/>
      <c r="T13" s="10"/>
      <c r="U13" s="10"/>
      <c r="V13" s="10"/>
      <c r="W13" s="10"/>
      <c r="X13" s="10"/>
      <c r="Y13" s="10"/>
      <c r="Z13" s="10"/>
    </row>
    <row r="14">
      <c r="A14" s="11">
        <v>1013.0</v>
      </c>
      <c r="B14" s="11" t="s">
        <v>65</v>
      </c>
      <c r="C14" s="11">
        <v>98.0</v>
      </c>
      <c r="D14" s="11">
        <v>90.0</v>
      </c>
      <c r="E14" s="11">
        <v>97.0</v>
      </c>
      <c r="F14" s="12">
        <v>45261.0</v>
      </c>
      <c r="G14" s="10">
        <f t="shared" si="1"/>
        <v>95</v>
      </c>
      <c r="H14" s="10" t="str">
        <f t="shared" si="2"/>
        <v>A</v>
      </c>
      <c r="I14" s="10" t="str">
        <f t="shared" si="3"/>
        <v>High Scorer</v>
      </c>
      <c r="J14" s="10">
        <f t="shared" si="4"/>
        <v>8</v>
      </c>
      <c r="K14" s="10">
        <f t="shared" si="5"/>
        <v>454.6666667</v>
      </c>
      <c r="L14" s="13">
        <f t="shared" si="6"/>
        <v>85</v>
      </c>
      <c r="M14" s="10"/>
      <c r="N14" s="10"/>
      <c r="O14" s="10"/>
      <c r="P14" s="10"/>
      <c r="Q14" s="10"/>
      <c r="R14" s="10"/>
      <c r="S14" s="10"/>
      <c r="T14" s="10"/>
      <c r="U14" s="10"/>
      <c r="V14" s="10"/>
      <c r="W14" s="10"/>
      <c r="X14" s="10"/>
      <c r="Y14" s="10"/>
      <c r="Z14" s="10"/>
    </row>
    <row r="15">
      <c r="A15" s="11">
        <v>1014.0</v>
      </c>
      <c r="B15" s="11" t="s">
        <v>66</v>
      </c>
      <c r="C15" s="11">
        <v>93.0</v>
      </c>
      <c r="D15" s="11">
        <v>40.0</v>
      </c>
      <c r="E15" s="11">
        <v>44.0</v>
      </c>
      <c r="F15" s="12">
        <v>45441.0</v>
      </c>
      <c r="G15" s="10">
        <f t="shared" si="1"/>
        <v>59</v>
      </c>
      <c r="H15" s="10" t="str">
        <f t="shared" si="2"/>
        <v>F</v>
      </c>
      <c r="I15" s="10" t="str">
        <f t="shared" si="3"/>
        <v>Regular</v>
      </c>
      <c r="J15" s="10">
        <f t="shared" si="4"/>
        <v>7</v>
      </c>
      <c r="K15" s="10">
        <f t="shared" si="5"/>
        <v>359.6666667</v>
      </c>
      <c r="L15" s="13">
        <f t="shared" si="6"/>
        <v>83.14285714</v>
      </c>
      <c r="M15" s="10"/>
      <c r="N15" s="10"/>
      <c r="O15" s="10"/>
      <c r="P15" s="10"/>
      <c r="Q15" s="10"/>
      <c r="R15" s="10"/>
      <c r="S15" s="10"/>
      <c r="T15" s="10"/>
      <c r="U15" s="10"/>
      <c r="V15" s="10"/>
      <c r="W15" s="10"/>
      <c r="X15" s="10"/>
      <c r="Y15" s="10"/>
      <c r="Z15" s="10"/>
    </row>
    <row r="16">
      <c r="A16" s="11">
        <v>1015.0</v>
      </c>
      <c r="B16" s="11" t="s">
        <v>67</v>
      </c>
      <c r="C16" s="11">
        <v>70.0</v>
      </c>
      <c r="D16" s="11">
        <v>51.0</v>
      </c>
      <c r="E16" s="11">
        <v>75.0</v>
      </c>
      <c r="F16" s="12">
        <v>45621.0</v>
      </c>
      <c r="G16" s="10">
        <f t="shared" si="1"/>
        <v>65.33333333</v>
      </c>
      <c r="H16" s="10" t="str">
        <f t="shared" si="2"/>
        <v>D</v>
      </c>
      <c r="I16" s="10" t="str">
        <f t="shared" si="3"/>
        <v>Regular</v>
      </c>
      <c r="J16" s="10">
        <f t="shared" si="4"/>
        <v>6</v>
      </c>
      <c r="K16" s="10">
        <f t="shared" si="5"/>
        <v>300.6666667</v>
      </c>
      <c r="L16" s="13">
        <f t="shared" si="6"/>
        <v>81.5</v>
      </c>
      <c r="M16" s="10"/>
      <c r="N16" s="10"/>
      <c r="O16" s="10"/>
      <c r="P16" s="10"/>
      <c r="Q16" s="10"/>
      <c r="R16" s="10"/>
      <c r="S16" s="10"/>
      <c r="T16" s="10"/>
      <c r="U16" s="10"/>
      <c r="V16" s="10"/>
      <c r="W16" s="10"/>
      <c r="X16" s="10"/>
      <c r="Y16" s="10"/>
      <c r="Z16" s="10"/>
    </row>
    <row r="17">
      <c r="A17" s="11">
        <v>1016.0</v>
      </c>
      <c r="B17" s="11" t="s">
        <v>68</v>
      </c>
      <c r="C17" s="11">
        <v>98.0</v>
      </c>
      <c r="D17" s="11">
        <v>77.0</v>
      </c>
      <c r="E17" s="11">
        <v>60.0</v>
      </c>
      <c r="F17" s="12">
        <v>45801.0</v>
      </c>
      <c r="G17" s="10">
        <f t="shared" si="1"/>
        <v>78.33333333</v>
      </c>
      <c r="H17" s="10" t="str">
        <f t="shared" si="2"/>
        <v>C</v>
      </c>
      <c r="I17" s="10" t="str">
        <f t="shared" si="3"/>
        <v>Regular</v>
      </c>
      <c r="J17" s="10">
        <f t="shared" si="4"/>
        <v>5</v>
      </c>
      <c r="K17" s="10">
        <f t="shared" si="5"/>
        <v>300.6666667</v>
      </c>
      <c r="L17" s="13">
        <f t="shared" si="6"/>
        <v>83.8</v>
      </c>
      <c r="M17" s="10"/>
      <c r="N17" s="10"/>
      <c r="O17" s="10"/>
      <c r="P17" s="10"/>
      <c r="Q17" s="10"/>
      <c r="R17" s="10"/>
      <c r="S17" s="10"/>
      <c r="T17" s="10"/>
      <c r="U17" s="10"/>
      <c r="V17" s="10"/>
      <c r="W17" s="10"/>
      <c r="X17" s="10"/>
      <c r="Y17" s="10"/>
      <c r="Z17" s="10"/>
    </row>
    <row r="18">
      <c r="A18" s="11">
        <v>1017.0</v>
      </c>
      <c r="B18" s="11" t="s">
        <v>69</v>
      </c>
      <c r="C18" s="11">
        <v>66.0</v>
      </c>
      <c r="D18" s="11">
        <v>59.0</v>
      </c>
      <c r="E18" s="11">
        <v>40.0</v>
      </c>
      <c r="F18" s="12">
        <v>45981.0</v>
      </c>
      <c r="G18" s="10">
        <f t="shared" si="1"/>
        <v>55</v>
      </c>
      <c r="H18" s="10" t="str">
        <f t="shared" si="2"/>
        <v>F</v>
      </c>
      <c r="I18" s="10" t="str">
        <f t="shared" si="3"/>
        <v>Regular</v>
      </c>
      <c r="J18" s="10">
        <f t="shared" si="4"/>
        <v>4</v>
      </c>
      <c r="K18" s="10">
        <f t="shared" si="5"/>
        <v>222.3333333</v>
      </c>
      <c r="L18" s="13">
        <f t="shared" si="6"/>
        <v>80.25</v>
      </c>
      <c r="M18" s="10"/>
      <c r="N18" s="10"/>
      <c r="O18" s="10"/>
      <c r="P18" s="10"/>
      <c r="Q18" s="10"/>
      <c r="R18" s="10"/>
      <c r="S18" s="10"/>
      <c r="T18" s="10"/>
      <c r="U18" s="10"/>
      <c r="V18" s="10"/>
      <c r="W18" s="10"/>
      <c r="X18" s="10"/>
      <c r="Y18" s="10"/>
      <c r="Z18" s="10"/>
    </row>
    <row r="19">
      <c r="A19" s="11">
        <v>1018.0</v>
      </c>
      <c r="B19" s="11" t="s">
        <v>70</v>
      </c>
      <c r="C19" s="11">
        <v>82.0</v>
      </c>
      <c r="D19" s="11">
        <v>48.0</v>
      </c>
      <c r="E19" s="11">
        <v>79.0</v>
      </c>
      <c r="F19" s="12">
        <v>46161.0</v>
      </c>
      <c r="G19" s="10">
        <f t="shared" si="1"/>
        <v>69.66666667</v>
      </c>
      <c r="H19" s="10" t="str">
        <f t="shared" si="2"/>
        <v>D</v>
      </c>
      <c r="I19" s="10" t="str">
        <f t="shared" si="3"/>
        <v>Regular</v>
      </c>
      <c r="J19" s="10">
        <f t="shared" si="4"/>
        <v>3</v>
      </c>
      <c r="K19" s="10">
        <f t="shared" si="5"/>
        <v>222.3333333</v>
      </c>
      <c r="L19" s="13">
        <f t="shared" si="6"/>
        <v>85</v>
      </c>
      <c r="M19" s="10"/>
      <c r="N19" s="10"/>
      <c r="O19" s="10"/>
      <c r="P19" s="10"/>
      <c r="Q19" s="10"/>
      <c r="R19" s="10"/>
      <c r="S19" s="10"/>
      <c r="T19" s="10"/>
      <c r="U19" s="10"/>
      <c r="V19" s="10"/>
      <c r="W19" s="10"/>
      <c r="X19" s="10"/>
      <c r="Y19" s="10"/>
      <c r="Z19" s="10"/>
    </row>
    <row r="20">
      <c r="A20" s="11">
        <v>1019.0</v>
      </c>
      <c r="B20" s="11" t="s">
        <v>71</v>
      </c>
      <c r="C20" s="11">
        <v>90.0</v>
      </c>
      <c r="D20" s="11">
        <v>78.0</v>
      </c>
      <c r="E20" s="11">
        <v>60.0</v>
      </c>
      <c r="F20" s="12">
        <v>46341.0</v>
      </c>
      <c r="G20" s="10">
        <f t="shared" si="1"/>
        <v>76</v>
      </c>
      <c r="H20" s="10" t="str">
        <f t="shared" si="2"/>
        <v>C</v>
      </c>
      <c r="I20" s="10" t="str">
        <f t="shared" si="3"/>
        <v>Regular</v>
      </c>
      <c r="J20" s="10">
        <f t="shared" si="4"/>
        <v>2</v>
      </c>
      <c r="K20" s="10">
        <f t="shared" si="5"/>
        <v>152.6666667</v>
      </c>
      <c r="L20" s="13">
        <f t="shared" si="6"/>
        <v>86.5</v>
      </c>
      <c r="M20" s="10"/>
      <c r="N20" s="10"/>
      <c r="O20" s="10"/>
      <c r="P20" s="10"/>
      <c r="Q20" s="10"/>
      <c r="R20" s="10"/>
      <c r="S20" s="10"/>
      <c r="T20" s="10"/>
      <c r="U20" s="10"/>
      <c r="V20" s="10"/>
      <c r="W20" s="10"/>
      <c r="X20" s="10"/>
      <c r="Y20" s="10"/>
      <c r="Z20" s="10"/>
    </row>
    <row r="21" ht="15.75" customHeight="1">
      <c r="A21" s="11">
        <v>1020.0</v>
      </c>
      <c r="B21" s="11" t="s">
        <v>72</v>
      </c>
      <c r="C21" s="11">
        <v>83.0</v>
      </c>
      <c r="D21" s="11">
        <v>92.0</v>
      </c>
      <c r="E21" s="11">
        <v>55.0</v>
      </c>
      <c r="F21" s="12">
        <v>46521.0</v>
      </c>
      <c r="G21" s="10">
        <f t="shared" si="1"/>
        <v>76.66666667</v>
      </c>
      <c r="H21" s="10" t="str">
        <f t="shared" si="2"/>
        <v>C</v>
      </c>
      <c r="I21" s="10" t="str">
        <f t="shared" si="3"/>
        <v>High Scorer</v>
      </c>
      <c r="J21" s="10">
        <f t="shared" si="4"/>
        <v>1</v>
      </c>
      <c r="K21" s="10">
        <f t="shared" si="5"/>
        <v>76.66666667</v>
      </c>
      <c r="L21" s="13">
        <f t="shared" si="6"/>
        <v>83</v>
      </c>
      <c r="M21" s="10"/>
      <c r="N21" s="10"/>
      <c r="O21" s="10"/>
      <c r="P21" s="10"/>
      <c r="Q21" s="10"/>
      <c r="R21" s="10"/>
      <c r="S21" s="10"/>
      <c r="T21" s="10"/>
      <c r="U21" s="10"/>
      <c r="V21" s="10"/>
      <c r="W21" s="10"/>
      <c r="X21" s="10"/>
      <c r="Y21" s="10"/>
      <c r="Z21" s="10"/>
    </row>
    <row r="22"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86"/>
    <col customWidth="1" min="2" max="2" width="9.14"/>
    <col customWidth="1" min="3" max="3" width="7.14"/>
    <col customWidth="1" min="4" max="4" width="11.57"/>
    <col customWidth="1" min="5" max="5" width="8.14"/>
    <col customWidth="1" min="6" max="6" width="18.86"/>
    <col customWidth="1" min="7" max="7" width="34.86"/>
    <col customWidth="1" min="8" max="8" width="46.71"/>
    <col customWidth="1" min="9" max="9" width="52.0"/>
    <col customWidth="1" min="10" max="10" width="35.43"/>
    <col customWidth="1" min="11" max="11" width="44.14"/>
    <col customWidth="1" min="12" max="12" width="25.71"/>
    <col customWidth="1" min="13" max="26" width="8.71"/>
  </cols>
  <sheetData>
    <row r="1">
      <c r="A1" s="8" t="s">
        <v>73</v>
      </c>
      <c r="B1" s="8" t="s">
        <v>74</v>
      </c>
      <c r="C1" s="8" t="s">
        <v>75</v>
      </c>
      <c r="D1" s="8" t="s">
        <v>76</v>
      </c>
      <c r="E1" s="8" t="s">
        <v>77</v>
      </c>
      <c r="F1" s="8" t="s">
        <v>78</v>
      </c>
      <c r="G1" s="9" t="s">
        <v>79</v>
      </c>
      <c r="H1" s="9" t="s">
        <v>80</v>
      </c>
      <c r="I1" s="9" t="s">
        <v>81</v>
      </c>
      <c r="J1" s="9" t="s">
        <v>82</v>
      </c>
      <c r="K1" s="9" t="s">
        <v>83</v>
      </c>
      <c r="L1" s="9" t="s">
        <v>84</v>
      </c>
      <c r="M1" s="9" t="s">
        <v>85</v>
      </c>
      <c r="N1" s="10"/>
      <c r="O1" s="10"/>
      <c r="P1" s="10"/>
      <c r="Q1" s="10"/>
      <c r="R1" s="10"/>
      <c r="S1" s="10"/>
      <c r="T1" s="10"/>
      <c r="U1" s="10"/>
      <c r="V1" s="10"/>
      <c r="W1" s="10"/>
      <c r="X1" s="10"/>
      <c r="Y1" s="10"/>
      <c r="Z1" s="10"/>
    </row>
    <row r="2">
      <c r="A2" s="11">
        <v>2001.0</v>
      </c>
      <c r="B2" s="11" t="s">
        <v>86</v>
      </c>
      <c r="C2" s="11" t="s">
        <v>87</v>
      </c>
      <c r="D2" s="11" t="s">
        <v>88</v>
      </c>
      <c r="E2" s="11">
        <v>7048.0</v>
      </c>
      <c r="F2" s="12">
        <v>44927.0</v>
      </c>
      <c r="G2" s="10">
        <f t="shared" ref="G2:G21" si="1">IF(E2&gt;=30000, E2*0.15, IF(E2&gt;=15000, E2*0.1, E2*0.05))</f>
        <v>352.4</v>
      </c>
      <c r="H2" s="10" t="str">
        <f t="shared" ref="H2:H21" si="2">IF(OR(B2="Laptop", E2&gt;30000), "Eligible", "Not Eligible")</f>
        <v>Not Eligible</v>
      </c>
      <c r="I2" s="10">
        <f t="shared" ref="I2:I21" si="3">SUMIFS($E$2:$E$21, $C$2:$C$21, "South", $B$2:$B$21, "Keyboard")</f>
        <v>42233</v>
      </c>
      <c r="J2" s="13">
        <v>2001.0</v>
      </c>
      <c r="K2" s="13" t="str">
        <f t="shared" ref="K2:K21" si="4">IFNA(VLOOKUP(VALUE(J2), $A$2:$E$21, 2, FALSE), VLOOKUP(TEXT(J2,"#"), $A$2:$E$21, 2, FALSE))</f>
        <v>Keyboard</v>
      </c>
      <c r="L2" s="10">
        <f t="shared" ref="L2:L21" si="5">IFNA(INDEX($E$2:$E$21, MATCH(J2, $A$2:$A$21, 0)), INDEX($E$2:$E$21, MATCH(VALUE(J2), $A$2:$A$21, 0)))</f>
        <v>7048</v>
      </c>
      <c r="M2" s="10">
        <f t="shared" ref="M2:M21" si="6">IFNA(_xlfn.XMATCH(J2, $A$2:$A$21), _xlfn.XMATCH(VALUE(J2), $A$2:$A$21))</f>
        <v>1</v>
      </c>
      <c r="N2" s="10"/>
      <c r="O2" s="10"/>
      <c r="P2" s="10"/>
      <c r="Q2" s="10"/>
      <c r="R2" s="10"/>
      <c r="S2" s="10"/>
      <c r="T2" s="10"/>
      <c r="U2" s="10"/>
      <c r="V2" s="10"/>
      <c r="W2" s="10"/>
      <c r="X2" s="10"/>
      <c r="Y2" s="10"/>
      <c r="Z2" s="10"/>
    </row>
    <row r="3">
      <c r="A3" s="11">
        <v>2002.0</v>
      </c>
      <c r="B3" s="11" t="s">
        <v>89</v>
      </c>
      <c r="C3" s="11" t="s">
        <v>90</v>
      </c>
      <c r="D3" s="11" t="s">
        <v>91</v>
      </c>
      <c r="E3" s="11">
        <v>17428.0</v>
      </c>
      <c r="F3" s="12">
        <v>44942.0</v>
      </c>
      <c r="G3" s="10">
        <f t="shared" si="1"/>
        <v>1742.8</v>
      </c>
      <c r="H3" s="10" t="str">
        <f t="shared" si="2"/>
        <v>Not Eligible</v>
      </c>
      <c r="I3" s="10">
        <f t="shared" si="3"/>
        <v>42233</v>
      </c>
      <c r="J3" s="13">
        <v>2001.0</v>
      </c>
      <c r="K3" s="13" t="str">
        <f t="shared" si="4"/>
        <v>Keyboard</v>
      </c>
      <c r="L3" s="10">
        <f t="shared" si="5"/>
        <v>7048</v>
      </c>
      <c r="M3" s="10">
        <f t="shared" si="6"/>
        <v>1</v>
      </c>
      <c r="N3" s="10"/>
      <c r="O3" s="10"/>
      <c r="P3" s="10"/>
      <c r="Q3" s="10"/>
      <c r="R3" s="10"/>
      <c r="S3" s="10"/>
      <c r="T3" s="10"/>
      <c r="U3" s="10"/>
      <c r="V3" s="10"/>
      <c r="W3" s="10"/>
      <c r="X3" s="10"/>
      <c r="Y3" s="10"/>
      <c r="Z3" s="10"/>
    </row>
    <row r="4">
      <c r="A4" s="11">
        <v>2003.0</v>
      </c>
      <c r="B4" s="11" t="s">
        <v>92</v>
      </c>
      <c r="C4" s="11" t="s">
        <v>87</v>
      </c>
      <c r="D4" s="11" t="s">
        <v>93</v>
      </c>
      <c r="E4" s="11">
        <v>23672.0</v>
      </c>
      <c r="F4" s="12">
        <v>44957.0</v>
      </c>
      <c r="G4" s="10">
        <f t="shared" si="1"/>
        <v>2367.2</v>
      </c>
      <c r="H4" s="10" t="str">
        <f t="shared" si="2"/>
        <v>Not Eligible</v>
      </c>
      <c r="I4" s="10">
        <f t="shared" si="3"/>
        <v>42233</v>
      </c>
      <c r="J4" s="13">
        <v>2001.0</v>
      </c>
      <c r="K4" s="13" t="str">
        <f t="shared" si="4"/>
        <v>Keyboard</v>
      </c>
      <c r="L4" s="10">
        <f t="shared" si="5"/>
        <v>7048</v>
      </c>
      <c r="M4" s="10">
        <f t="shared" si="6"/>
        <v>1</v>
      </c>
      <c r="N4" s="10"/>
      <c r="O4" s="10"/>
      <c r="P4" s="10"/>
      <c r="Q4" s="10"/>
      <c r="R4" s="10"/>
      <c r="S4" s="10"/>
      <c r="T4" s="10"/>
      <c r="U4" s="10"/>
      <c r="V4" s="10"/>
      <c r="W4" s="10"/>
      <c r="X4" s="10"/>
      <c r="Y4" s="10"/>
      <c r="Z4" s="10"/>
    </row>
    <row r="5">
      <c r="A5" s="11">
        <v>2004.0</v>
      </c>
      <c r="B5" s="11" t="s">
        <v>89</v>
      </c>
      <c r="C5" s="11" t="s">
        <v>94</v>
      </c>
      <c r="D5" s="11" t="s">
        <v>95</v>
      </c>
      <c r="E5" s="11">
        <v>5264.0</v>
      </c>
      <c r="F5" s="12">
        <v>44972.0</v>
      </c>
      <c r="G5" s="10">
        <f t="shared" si="1"/>
        <v>263.2</v>
      </c>
      <c r="H5" s="10" t="str">
        <f t="shared" si="2"/>
        <v>Not Eligible</v>
      </c>
      <c r="I5" s="10">
        <f t="shared" si="3"/>
        <v>42233</v>
      </c>
      <c r="J5" s="13">
        <v>2001.0</v>
      </c>
      <c r="K5" s="13" t="str">
        <f t="shared" si="4"/>
        <v>Keyboard</v>
      </c>
      <c r="L5" s="10">
        <f t="shared" si="5"/>
        <v>7048</v>
      </c>
      <c r="M5" s="10">
        <f t="shared" si="6"/>
        <v>1</v>
      </c>
      <c r="N5" s="10"/>
      <c r="O5" s="10"/>
      <c r="P5" s="10"/>
      <c r="Q5" s="10"/>
      <c r="R5" s="10"/>
      <c r="S5" s="10"/>
      <c r="T5" s="10"/>
      <c r="U5" s="10"/>
      <c r="V5" s="10"/>
      <c r="W5" s="10"/>
      <c r="X5" s="10"/>
      <c r="Y5" s="10"/>
      <c r="Z5" s="10"/>
    </row>
    <row r="6">
      <c r="A6" s="11">
        <v>2005.0</v>
      </c>
      <c r="B6" s="11" t="s">
        <v>86</v>
      </c>
      <c r="C6" s="11" t="s">
        <v>96</v>
      </c>
      <c r="D6" s="11" t="s">
        <v>97</v>
      </c>
      <c r="E6" s="11">
        <v>43388.0</v>
      </c>
      <c r="F6" s="12">
        <v>44987.0</v>
      </c>
      <c r="G6" s="10">
        <f t="shared" si="1"/>
        <v>6508.2</v>
      </c>
      <c r="H6" s="10" t="str">
        <f t="shared" si="2"/>
        <v>Eligible</v>
      </c>
      <c r="I6" s="10">
        <f t="shared" si="3"/>
        <v>42233</v>
      </c>
      <c r="J6" s="13">
        <v>2001.0</v>
      </c>
      <c r="K6" s="13" t="str">
        <f t="shared" si="4"/>
        <v>Keyboard</v>
      </c>
      <c r="L6" s="10">
        <f t="shared" si="5"/>
        <v>7048</v>
      </c>
      <c r="M6" s="10">
        <f t="shared" si="6"/>
        <v>1</v>
      </c>
      <c r="N6" s="10"/>
      <c r="O6" s="10"/>
      <c r="P6" s="10"/>
      <c r="Q6" s="10"/>
      <c r="R6" s="10"/>
      <c r="S6" s="10"/>
      <c r="T6" s="10"/>
      <c r="U6" s="10"/>
      <c r="V6" s="10"/>
      <c r="W6" s="10"/>
      <c r="X6" s="10"/>
      <c r="Y6" s="10"/>
      <c r="Z6" s="10"/>
    </row>
    <row r="7">
      <c r="A7" s="11">
        <v>2006.0</v>
      </c>
      <c r="B7" s="11" t="s">
        <v>92</v>
      </c>
      <c r="C7" s="11" t="s">
        <v>96</v>
      </c>
      <c r="D7" s="11" t="s">
        <v>98</v>
      </c>
      <c r="E7" s="11">
        <v>19757.0</v>
      </c>
      <c r="F7" s="12">
        <v>45002.0</v>
      </c>
      <c r="G7" s="10">
        <f t="shared" si="1"/>
        <v>1975.7</v>
      </c>
      <c r="H7" s="10" t="str">
        <f t="shared" si="2"/>
        <v>Not Eligible</v>
      </c>
      <c r="I7" s="10">
        <f t="shared" si="3"/>
        <v>42233</v>
      </c>
      <c r="J7" s="13">
        <v>2001.0</v>
      </c>
      <c r="K7" s="13" t="str">
        <f t="shared" si="4"/>
        <v>Keyboard</v>
      </c>
      <c r="L7" s="10">
        <f t="shared" si="5"/>
        <v>7048</v>
      </c>
      <c r="M7" s="10">
        <f t="shared" si="6"/>
        <v>1</v>
      </c>
      <c r="N7" s="10"/>
      <c r="O7" s="10"/>
      <c r="P7" s="10"/>
      <c r="Q7" s="10"/>
      <c r="R7" s="10"/>
      <c r="S7" s="10"/>
      <c r="T7" s="10"/>
      <c r="U7" s="10"/>
      <c r="V7" s="10"/>
      <c r="W7" s="10"/>
      <c r="X7" s="10"/>
      <c r="Y7" s="10"/>
      <c r="Z7" s="10"/>
    </row>
    <row r="8">
      <c r="A8" s="11">
        <v>2007.0</v>
      </c>
      <c r="B8" s="11" t="s">
        <v>92</v>
      </c>
      <c r="C8" s="11" t="s">
        <v>94</v>
      </c>
      <c r="D8" s="11" t="s">
        <v>99</v>
      </c>
      <c r="E8" s="11">
        <v>32058.0</v>
      </c>
      <c r="F8" s="12">
        <v>45017.0</v>
      </c>
      <c r="G8" s="10">
        <f t="shared" si="1"/>
        <v>4808.7</v>
      </c>
      <c r="H8" s="10" t="str">
        <f t="shared" si="2"/>
        <v>Eligible</v>
      </c>
      <c r="I8" s="10">
        <f t="shared" si="3"/>
        <v>42233</v>
      </c>
      <c r="J8" s="13">
        <v>2001.0</v>
      </c>
      <c r="K8" s="13" t="str">
        <f t="shared" si="4"/>
        <v>Keyboard</v>
      </c>
      <c r="L8" s="10">
        <f t="shared" si="5"/>
        <v>7048</v>
      </c>
      <c r="M8" s="10">
        <f t="shared" si="6"/>
        <v>1</v>
      </c>
      <c r="N8" s="10"/>
      <c r="O8" s="10"/>
      <c r="P8" s="10"/>
      <c r="Q8" s="10"/>
      <c r="R8" s="10"/>
      <c r="S8" s="10"/>
      <c r="T8" s="10"/>
      <c r="U8" s="10"/>
      <c r="V8" s="10"/>
      <c r="W8" s="10"/>
      <c r="X8" s="10"/>
      <c r="Y8" s="10"/>
      <c r="Z8" s="10"/>
    </row>
    <row r="9">
      <c r="A9" s="11">
        <v>2008.0</v>
      </c>
      <c r="B9" s="11" t="s">
        <v>86</v>
      </c>
      <c r="C9" s="11" t="s">
        <v>94</v>
      </c>
      <c r="D9" s="11" t="s">
        <v>100</v>
      </c>
      <c r="E9" s="11">
        <v>46429.0</v>
      </c>
      <c r="F9" s="12">
        <v>45032.0</v>
      </c>
      <c r="G9" s="10">
        <f t="shared" si="1"/>
        <v>6964.35</v>
      </c>
      <c r="H9" s="10" t="str">
        <f t="shared" si="2"/>
        <v>Eligible</v>
      </c>
      <c r="I9" s="10">
        <f t="shared" si="3"/>
        <v>42233</v>
      </c>
      <c r="J9" s="13">
        <v>2001.0</v>
      </c>
      <c r="K9" s="13" t="str">
        <f t="shared" si="4"/>
        <v>Keyboard</v>
      </c>
      <c r="L9" s="10">
        <f t="shared" si="5"/>
        <v>7048</v>
      </c>
      <c r="M9" s="10">
        <f t="shared" si="6"/>
        <v>1</v>
      </c>
      <c r="N9" s="10"/>
      <c r="O9" s="10"/>
      <c r="P9" s="10"/>
      <c r="Q9" s="10"/>
      <c r="R9" s="10"/>
      <c r="S9" s="10"/>
      <c r="T9" s="10"/>
      <c r="U9" s="10"/>
      <c r="V9" s="10"/>
      <c r="W9" s="10"/>
      <c r="X9" s="10"/>
      <c r="Y9" s="10"/>
      <c r="Z9" s="10"/>
    </row>
    <row r="10">
      <c r="A10" s="11">
        <v>2009.0</v>
      </c>
      <c r="B10" s="11" t="s">
        <v>89</v>
      </c>
      <c r="C10" s="11" t="s">
        <v>94</v>
      </c>
      <c r="D10" s="11" t="s">
        <v>101</v>
      </c>
      <c r="E10" s="11">
        <v>19746.0</v>
      </c>
      <c r="F10" s="12">
        <v>45047.0</v>
      </c>
      <c r="G10" s="10">
        <f t="shared" si="1"/>
        <v>1974.6</v>
      </c>
      <c r="H10" s="10" t="str">
        <f t="shared" si="2"/>
        <v>Not Eligible</v>
      </c>
      <c r="I10" s="10">
        <f t="shared" si="3"/>
        <v>42233</v>
      </c>
      <c r="J10" s="13">
        <v>2001.0</v>
      </c>
      <c r="K10" s="13" t="str">
        <f t="shared" si="4"/>
        <v>Keyboard</v>
      </c>
      <c r="L10" s="10">
        <f t="shared" si="5"/>
        <v>7048</v>
      </c>
      <c r="M10" s="10">
        <f t="shared" si="6"/>
        <v>1</v>
      </c>
      <c r="N10" s="10"/>
      <c r="O10" s="10"/>
      <c r="P10" s="10"/>
      <c r="Q10" s="10"/>
      <c r="R10" s="10"/>
      <c r="S10" s="10"/>
      <c r="T10" s="10"/>
      <c r="U10" s="10"/>
      <c r="V10" s="10"/>
      <c r="W10" s="10"/>
      <c r="X10" s="10"/>
      <c r="Y10" s="10"/>
      <c r="Z10" s="10"/>
    </row>
    <row r="11">
      <c r="A11" s="11">
        <v>2010.0</v>
      </c>
      <c r="B11" s="11" t="s">
        <v>86</v>
      </c>
      <c r="C11" s="11" t="s">
        <v>87</v>
      </c>
      <c r="D11" s="11" t="s">
        <v>102</v>
      </c>
      <c r="E11" s="11">
        <v>35185.0</v>
      </c>
      <c r="F11" s="12">
        <v>45062.0</v>
      </c>
      <c r="G11" s="10">
        <f t="shared" si="1"/>
        <v>5277.75</v>
      </c>
      <c r="H11" s="10" t="str">
        <f t="shared" si="2"/>
        <v>Eligible</v>
      </c>
      <c r="I11" s="10">
        <f t="shared" si="3"/>
        <v>42233</v>
      </c>
      <c r="J11" s="13">
        <v>2001.0</v>
      </c>
      <c r="K11" s="13" t="str">
        <f t="shared" si="4"/>
        <v>Keyboard</v>
      </c>
      <c r="L11" s="10">
        <f t="shared" si="5"/>
        <v>7048</v>
      </c>
      <c r="M11" s="10">
        <f t="shared" si="6"/>
        <v>1</v>
      </c>
      <c r="N11" s="10"/>
      <c r="O11" s="10"/>
      <c r="P11" s="10"/>
      <c r="Q11" s="10"/>
      <c r="R11" s="10"/>
      <c r="S11" s="10"/>
      <c r="T11" s="10"/>
      <c r="U11" s="10"/>
      <c r="V11" s="10"/>
      <c r="W11" s="10"/>
      <c r="X11" s="10"/>
      <c r="Y11" s="10"/>
      <c r="Z11" s="10"/>
    </row>
    <row r="12">
      <c r="A12" s="11">
        <v>2011.0</v>
      </c>
      <c r="B12" s="11" t="s">
        <v>86</v>
      </c>
      <c r="C12" s="11" t="s">
        <v>94</v>
      </c>
      <c r="D12" s="11" t="s">
        <v>103</v>
      </c>
      <c r="E12" s="11">
        <v>33920.0</v>
      </c>
      <c r="F12" s="12">
        <v>45077.0</v>
      </c>
      <c r="G12" s="10">
        <f t="shared" si="1"/>
        <v>5088</v>
      </c>
      <c r="H12" s="10" t="str">
        <f t="shared" si="2"/>
        <v>Eligible</v>
      </c>
      <c r="I12" s="10">
        <f t="shared" si="3"/>
        <v>42233</v>
      </c>
      <c r="J12" s="13">
        <v>2001.0</v>
      </c>
      <c r="K12" s="13" t="str">
        <f t="shared" si="4"/>
        <v>Keyboard</v>
      </c>
      <c r="L12" s="10">
        <f t="shared" si="5"/>
        <v>7048</v>
      </c>
      <c r="M12" s="10">
        <f t="shared" si="6"/>
        <v>1</v>
      </c>
      <c r="N12" s="10"/>
      <c r="O12" s="10"/>
      <c r="P12" s="10"/>
      <c r="Q12" s="10"/>
      <c r="R12" s="10"/>
      <c r="S12" s="10"/>
      <c r="T12" s="10"/>
      <c r="U12" s="10"/>
      <c r="V12" s="10"/>
      <c r="W12" s="10"/>
      <c r="X12" s="10"/>
      <c r="Y12" s="10"/>
      <c r="Z12" s="10"/>
    </row>
    <row r="13">
      <c r="A13" s="11">
        <v>2012.0</v>
      </c>
      <c r="B13" s="11" t="s">
        <v>104</v>
      </c>
      <c r="C13" s="11" t="s">
        <v>96</v>
      </c>
      <c r="D13" s="11" t="s">
        <v>105</v>
      </c>
      <c r="E13" s="11">
        <v>35611.0</v>
      </c>
      <c r="F13" s="12">
        <v>45092.0</v>
      </c>
      <c r="G13" s="10">
        <f t="shared" si="1"/>
        <v>5341.65</v>
      </c>
      <c r="H13" s="10" t="str">
        <f t="shared" si="2"/>
        <v>Eligible</v>
      </c>
      <c r="I13" s="10">
        <f t="shared" si="3"/>
        <v>42233</v>
      </c>
      <c r="J13" s="13">
        <v>2001.0</v>
      </c>
      <c r="K13" s="13" t="str">
        <f t="shared" si="4"/>
        <v>Keyboard</v>
      </c>
      <c r="L13" s="10">
        <f t="shared" si="5"/>
        <v>7048</v>
      </c>
      <c r="M13" s="10">
        <f t="shared" si="6"/>
        <v>1</v>
      </c>
      <c r="N13" s="10"/>
      <c r="O13" s="10"/>
      <c r="P13" s="10"/>
      <c r="Q13" s="10"/>
      <c r="R13" s="10"/>
      <c r="S13" s="10"/>
      <c r="T13" s="10"/>
      <c r="U13" s="10"/>
      <c r="V13" s="10"/>
      <c r="W13" s="10"/>
      <c r="X13" s="10"/>
      <c r="Y13" s="10"/>
      <c r="Z13" s="10"/>
    </row>
    <row r="14">
      <c r="A14" s="11">
        <v>2013.0</v>
      </c>
      <c r="B14" s="11" t="s">
        <v>106</v>
      </c>
      <c r="C14" s="11" t="s">
        <v>94</v>
      </c>
      <c r="D14" s="11" t="s">
        <v>107</v>
      </c>
      <c r="E14" s="11">
        <v>15560.0</v>
      </c>
      <c r="F14" s="12">
        <v>45107.0</v>
      </c>
      <c r="G14" s="10">
        <f t="shared" si="1"/>
        <v>1556</v>
      </c>
      <c r="H14" s="10" t="str">
        <f t="shared" si="2"/>
        <v>Eligible</v>
      </c>
      <c r="I14" s="10">
        <f t="shared" si="3"/>
        <v>42233</v>
      </c>
      <c r="J14" s="13">
        <v>2001.0</v>
      </c>
      <c r="K14" s="13" t="str">
        <f t="shared" si="4"/>
        <v>Keyboard</v>
      </c>
      <c r="L14" s="10">
        <f t="shared" si="5"/>
        <v>7048</v>
      </c>
      <c r="M14" s="10">
        <f t="shared" si="6"/>
        <v>1</v>
      </c>
      <c r="N14" s="10"/>
      <c r="O14" s="10"/>
      <c r="P14" s="10"/>
      <c r="Q14" s="10"/>
      <c r="R14" s="10"/>
      <c r="S14" s="10"/>
      <c r="T14" s="10"/>
      <c r="U14" s="10"/>
      <c r="V14" s="10"/>
      <c r="W14" s="10"/>
      <c r="X14" s="10"/>
      <c r="Y14" s="10"/>
      <c r="Z14" s="10"/>
    </row>
    <row r="15">
      <c r="A15" s="11">
        <v>2014.0</v>
      </c>
      <c r="B15" s="11" t="s">
        <v>106</v>
      </c>
      <c r="C15" s="11" t="s">
        <v>87</v>
      </c>
      <c r="D15" s="11" t="s">
        <v>108</v>
      </c>
      <c r="E15" s="11">
        <v>7283.0</v>
      </c>
      <c r="F15" s="12">
        <v>45122.0</v>
      </c>
      <c r="G15" s="10">
        <f t="shared" si="1"/>
        <v>364.15</v>
      </c>
      <c r="H15" s="10" t="str">
        <f t="shared" si="2"/>
        <v>Eligible</v>
      </c>
      <c r="I15" s="10">
        <f t="shared" si="3"/>
        <v>42233</v>
      </c>
      <c r="J15" s="13">
        <v>2001.0</v>
      </c>
      <c r="K15" s="13" t="str">
        <f t="shared" si="4"/>
        <v>Keyboard</v>
      </c>
      <c r="L15" s="10">
        <f t="shared" si="5"/>
        <v>7048</v>
      </c>
      <c r="M15" s="10">
        <f t="shared" si="6"/>
        <v>1</v>
      </c>
      <c r="N15" s="10"/>
      <c r="O15" s="10"/>
      <c r="P15" s="10"/>
      <c r="Q15" s="10"/>
      <c r="R15" s="10"/>
      <c r="S15" s="10"/>
      <c r="T15" s="10"/>
      <c r="U15" s="10"/>
      <c r="V15" s="10"/>
      <c r="W15" s="10"/>
      <c r="X15" s="10"/>
      <c r="Y15" s="10"/>
      <c r="Z15" s="10"/>
    </row>
    <row r="16">
      <c r="A16" s="11">
        <v>2015.0</v>
      </c>
      <c r="B16" s="11" t="s">
        <v>106</v>
      </c>
      <c r="C16" s="11" t="s">
        <v>94</v>
      </c>
      <c r="D16" s="11" t="s">
        <v>109</v>
      </c>
      <c r="E16" s="11">
        <v>15678.0</v>
      </c>
      <c r="F16" s="12">
        <v>45137.0</v>
      </c>
      <c r="G16" s="10">
        <f t="shared" si="1"/>
        <v>1567.8</v>
      </c>
      <c r="H16" s="10" t="str">
        <f t="shared" si="2"/>
        <v>Eligible</v>
      </c>
      <c r="I16" s="10">
        <f t="shared" si="3"/>
        <v>42233</v>
      </c>
      <c r="J16" s="13">
        <v>2001.0</v>
      </c>
      <c r="K16" s="13" t="str">
        <f t="shared" si="4"/>
        <v>Keyboard</v>
      </c>
      <c r="L16" s="10">
        <f t="shared" si="5"/>
        <v>7048</v>
      </c>
      <c r="M16" s="10">
        <f t="shared" si="6"/>
        <v>1</v>
      </c>
      <c r="N16" s="10"/>
      <c r="O16" s="10"/>
      <c r="P16" s="10"/>
      <c r="Q16" s="10"/>
      <c r="R16" s="10"/>
      <c r="S16" s="10"/>
      <c r="T16" s="10"/>
      <c r="U16" s="10"/>
      <c r="V16" s="10"/>
      <c r="W16" s="10"/>
      <c r="X16" s="10"/>
      <c r="Y16" s="10"/>
      <c r="Z16" s="10"/>
    </row>
    <row r="17">
      <c r="A17" s="11">
        <v>2016.0</v>
      </c>
      <c r="B17" s="11" t="s">
        <v>92</v>
      </c>
      <c r="C17" s="11" t="s">
        <v>94</v>
      </c>
      <c r="D17" s="11" t="s">
        <v>110</v>
      </c>
      <c r="E17" s="11">
        <v>5277.0</v>
      </c>
      <c r="F17" s="12">
        <v>45152.0</v>
      </c>
      <c r="G17" s="10">
        <f t="shared" si="1"/>
        <v>263.85</v>
      </c>
      <c r="H17" s="10" t="str">
        <f t="shared" si="2"/>
        <v>Not Eligible</v>
      </c>
      <c r="I17" s="10">
        <f t="shared" si="3"/>
        <v>42233</v>
      </c>
      <c r="J17" s="13">
        <v>2001.0</v>
      </c>
      <c r="K17" s="13" t="str">
        <f t="shared" si="4"/>
        <v>Keyboard</v>
      </c>
      <c r="L17" s="10">
        <f t="shared" si="5"/>
        <v>7048</v>
      </c>
      <c r="M17" s="10">
        <f t="shared" si="6"/>
        <v>1</v>
      </c>
      <c r="N17" s="10"/>
      <c r="O17" s="10"/>
      <c r="P17" s="10"/>
      <c r="Q17" s="10"/>
      <c r="R17" s="10"/>
      <c r="S17" s="10"/>
      <c r="T17" s="10"/>
      <c r="U17" s="10"/>
      <c r="V17" s="10"/>
      <c r="W17" s="10"/>
      <c r="X17" s="10"/>
      <c r="Y17" s="10"/>
      <c r="Z17" s="10"/>
    </row>
    <row r="18">
      <c r="A18" s="11">
        <v>2017.0</v>
      </c>
      <c r="B18" s="11" t="s">
        <v>104</v>
      </c>
      <c r="C18" s="11" t="s">
        <v>96</v>
      </c>
      <c r="D18" s="11" t="s">
        <v>111</v>
      </c>
      <c r="E18" s="11">
        <v>41871.0</v>
      </c>
      <c r="F18" s="12">
        <v>45167.0</v>
      </c>
      <c r="G18" s="10">
        <f t="shared" si="1"/>
        <v>6280.65</v>
      </c>
      <c r="H18" s="10" t="str">
        <f t="shared" si="2"/>
        <v>Eligible</v>
      </c>
      <c r="I18" s="10">
        <f t="shared" si="3"/>
        <v>42233</v>
      </c>
      <c r="J18" s="13">
        <v>2001.0</v>
      </c>
      <c r="K18" s="13" t="str">
        <f t="shared" si="4"/>
        <v>Keyboard</v>
      </c>
      <c r="L18" s="10">
        <f t="shared" si="5"/>
        <v>7048</v>
      </c>
      <c r="M18" s="10">
        <f t="shared" si="6"/>
        <v>1</v>
      </c>
      <c r="N18" s="10"/>
      <c r="O18" s="10"/>
      <c r="P18" s="10"/>
      <c r="Q18" s="10"/>
      <c r="R18" s="10"/>
      <c r="S18" s="10"/>
      <c r="T18" s="10"/>
      <c r="U18" s="10"/>
      <c r="V18" s="10"/>
      <c r="W18" s="10"/>
      <c r="X18" s="10"/>
      <c r="Y18" s="10"/>
      <c r="Z18" s="10"/>
    </row>
    <row r="19">
      <c r="A19" s="11">
        <v>2018.0</v>
      </c>
      <c r="B19" s="11" t="s">
        <v>104</v>
      </c>
      <c r="C19" s="11" t="s">
        <v>90</v>
      </c>
      <c r="D19" s="11" t="s">
        <v>112</v>
      </c>
      <c r="E19" s="11">
        <v>38161.0</v>
      </c>
      <c r="F19" s="12">
        <v>45182.0</v>
      </c>
      <c r="G19" s="10">
        <f t="shared" si="1"/>
        <v>5724.15</v>
      </c>
      <c r="H19" s="10" t="str">
        <f t="shared" si="2"/>
        <v>Eligible</v>
      </c>
      <c r="I19" s="10">
        <f t="shared" si="3"/>
        <v>42233</v>
      </c>
      <c r="J19" s="13">
        <v>2001.0</v>
      </c>
      <c r="K19" s="13" t="str">
        <f t="shared" si="4"/>
        <v>Keyboard</v>
      </c>
      <c r="L19" s="10">
        <f t="shared" si="5"/>
        <v>7048</v>
      </c>
      <c r="M19" s="10">
        <f t="shared" si="6"/>
        <v>1</v>
      </c>
      <c r="N19" s="10"/>
      <c r="O19" s="10"/>
      <c r="P19" s="10"/>
      <c r="Q19" s="10"/>
      <c r="R19" s="10"/>
      <c r="S19" s="10"/>
      <c r="T19" s="10"/>
      <c r="U19" s="10"/>
      <c r="V19" s="10"/>
      <c r="W19" s="10"/>
      <c r="X19" s="10"/>
      <c r="Y19" s="10"/>
      <c r="Z19" s="10"/>
    </row>
    <row r="20">
      <c r="A20" s="11">
        <v>2019.0</v>
      </c>
      <c r="B20" s="11" t="s">
        <v>92</v>
      </c>
      <c r="C20" s="11" t="s">
        <v>90</v>
      </c>
      <c r="D20" s="11" t="s">
        <v>113</v>
      </c>
      <c r="E20" s="11">
        <v>30436.0</v>
      </c>
      <c r="F20" s="12">
        <v>45197.0</v>
      </c>
      <c r="G20" s="10">
        <f t="shared" si="1"/>
        <v>4565.4</v>
      </c>
      <c r="H20" s="10" t="str">
        <f t="shared" si="2"/>
        <v>Eligible</v>
      </c>
      <c r="I20" s="10">
        <f t="shared" si="3"/>
        <v>42233</v>
      </c>
      <c r="J20" s="13">
        <v>2001.0</v>
      </c>
      <c r="K20" s="13" t="str">
        <f t="shared" si="4"/>
        <v>Keyboard</v>
      </c>
      <c r="L20" s="10">
        <f t="shared" si="5"/>
        <v>7048</v>
      </c>
      <c r="M20" s="10">
        <f t="shared" si="6"/>
        <v>1</v>
      </c>
      <c r="N20" s="10"/>
      <c r="O20" s="10"/>
      <c r="P20" s="10"/>
      <c r="Q20" s="10"/>
      <c r="R20" s="10"/>
      <c r="S20" s="10"/>
      <c r="T20" s="10"/>
      <c r="U20" s="10"/>
      <c r="V20" s="10"/>
      <c r="W20" s="10"/>
      <c r="X20" s="10"/>
      <c r="Y20" s="10"/>
      <c r="Z20" s="10"/>
    </row>
    <row r="21" ht="15.75" customHeight="1">
      <c r="A21" s="11">
        <v>2020.0</v>
      </c>
      <c r="B21" s="11" t="s">
        <v>89</v>
      </c>
      <c r="C21" s="11" t="s">
        <v>90</v>
      </c>
      <c r="D21" s="11" t="s">
        <v>114</v>
      </c>
      <c r="E21" s="11">
        <v>33953.0</v>
      </c>
      <c r="F21" s="12">
        <v>45212.0</v>
      </c>
      <c r="G21" s="10">
        <f t="shared" si="1"/>
        <v>5092.95</v>
      </c>
      <c r="H21" s="10" t="str">
        <f t="shared" si="2"/>
        <v>Eligible</v>
      </c>
      <c r="I21" s="10">
        <f t="shared" si="3"/>
        <v>42233</v>
      </c>
      <c r="J21" s="13">
        <v>2001.0</v>
      </c>
      <c r="K21" s="13" t="str">
        <f t="shared" si="4"/>
        <v>Keyboard</v>
      </c>
      <c r="L21" s="10">
        <f t="shared" si="5"/>
        <v>7048</v>
      </c>
      <c r="M21" s="10">
        <f t="shared" si="6"/>
        <v>1</v>
      </c>
      <c r="N21" s="10"/>
      <c r="O21" s="10"/>
      <c r="P21" s="10"/>
      <c r="Q21" s="10"/>
      <c r="R21" s="10"/>
      <c r="S21" s="10"/>
      <c r="T21" s="10"/>
      <c r="U21" s="10"/>
      <c r="V21" s="10"/>
      <c r="W21" s="10"/>
      <c r="X21" s="10"/>
      <c r="Y21" s="10"/>
      <c r="Z21" s="10"/>
    </row>
    <row r="22"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5.43"/>
    <col customWidth="1" min="3" max="3" width="11.71"/>
    <col customWidth="1" min="4" max="4" width="7.57"/>
    <col customWidth="1" min="5" max="5" width="18.86"/>
    <col customWidth="1" min="6" max="6" width="30.29"/>
    <col customWidth="1" min="7" max="7" width="34.71"/>
    <col customWidth="1" min="8" max="8" width="35.57"/>
    <col customWidth="1" min="9" max="9" width="43.43"/>
    <col customWidth="1" min="10" max="10" width="19.43"/>
    <col customWidth="1" min="11" max="11" width="24.57"/>
    <col customWidth="1" min="12" max="12" width="22.0"/>
    <col customWidth="1" min="13" max="25" width="8.71"/>
  </cols>
  <sheetData>
    <row r="1">
      <c r="A1" s="8" t="s">
        <v>115</v>
      </c>
      <c r="B1" s="8" t="s">
        <v>42</v>
      </c>
      <c r="C1" s="8" t="s">
        <v>116</v>
      </c>
      <c r="D1" s="8" t="s">
        <v>117</v>
      </c>
      <c r="E1" s="14" t="s">
        <v>118</v>
      </c>
      <c r="F1" s="9" t="s">
        <v>119</v>
      </c>
      <c r="G1" s="9" t="s">
        <v>120</v>
      </c>
      <c r="H1" s="9" t="s">
        <v>121</v>
      </c>
      <c r="I1" s="9" t="s">
        <v>122</v>
      </c>
      <c r="J1" s="9" t="s">
        <v>123</v>
      </c>
      <c r="K1" s="9" t="s">
        <v>124</v>
      </c>
      <c r="L1" s="9" t="s">
        <v>125</v>
      </c>
      <c r="M1" s="10"/>
      <c r="N1" s="10"/>
      <c r="O1" s="10"/>
      <c r="P1" s="10"/>
      <c r="Q1" s="10"/>
      <c r="R1" s="10"/>
      <c r="S1" s="10"/>
      <c r="T1" s="10"/>
      <c r="U1" s="10"/>
      <c r="V1" s="10"/>
      <c r="W1" s="10"/>
      <c r="X1" s="10"/>
      <c r="Y1" s="10"/>
    </row>
    <row r="2">
      <c r="A2" s="11">
        <v>3001.0</v>
      </c>
      <c r="B2" s="11" t="s">
        <v>126</v>
      </c>
      <c r="C2" s="11" t="s">
        <v>127</v>
      </c>
      <c r="D2" s="11">
        <v>86766.0</v>
      </c>
      <c r="E2" s="12">
        <v>42005.0</v>
      </c>
      <c r="F2" s="10" t="str">
        <f t="shared" ref="F2:F21" si="1">LEFT(B2, FIND(" ", B2) - 1)</f>
        <v>Aarav</v>
      </c>
      <c r="G2" s="10">
        <f t="shared" ref="G2:G21" si="2">_xlfn.XLOOKUP(A2, $A$2:$A$21, $D$2:$D$21, "Not Found")</f>
        <v>86766</v>
      </c>
      <c r="H2" s="10" t="str">
        <f t="shared" ref="H2:H21" si="3">UPPER(B2)</f>
        <v>AARAV SHARMA </v>
      </c>
      <c r="I2" s="10">
        <f t="shared" ref="I2:I21" si="4">DATEDIF(E2, TODAY(), "Y")</f>
        <v>11</v>
      </c>
      <c r="J2" s="10">
        <f t="shared" ref="J2:J21" si="5">ROUND(D2*0.1, 0)</f>
        <v>8677</v>
      </c>
      <c r="K2" s="10">
        <f t="shared" ref="K2:K21" si="6">CEILING(D2*0.1, 100)</f>
        <v>8700</v>
      </c>
      <c r="L2" s="10">
        <f t="shared" ref="L2:L21" si="7">FLOOR(D2*0.1, 100)</f>
        <v>8600</v>
      </c>
      <c r="M2" s="10"/>
      <c r="N2" s="10"/>
      <c r="O2" s="10"/>
      <c r="P2" s="10"/>
      <c r="Q2" s="10"/>
      <c r="R2" s="10"/>
      <c r="S2" s="10"/>
      <c r="T2" s="10"/>
      <c r="U2" s="10"/>
      <c r="V2" s="10"/>
      <c r="W2" s="10"/>
      <c r="X2" s="10"/>
      <c r="Y2" s="10"/>
    </row>
    <row r="3">
      <c r="A3" s="11">
        <v>3002.0</v>
      </c>
      <c r="B3" s="11" t="s">
        <v>128</v>
      </c>
      <c r="C3" s="11" t="s">
        <v>127</v>
      </c>
      <c r="D3" s="11">
        <v>31943.0</v>
      </c>
      <c r="E3" s="12">
        <v>42255.0</v>
      </c>
      <c r="F3" s="10" t="str">
        <f t="shared" si="1"/>
        <v>Aananya</v>
      </c>
      <c r="G3" s="10">
        <f t="shared" si="2"/>
        <v>31943</v>
      </c>
      <c r="H3" s="10" t="str">
        <f t="shared" si="3"/>
        <v>AANANYA PATEL</v>
      </c>
      <c r="I3" s="10">
        <f t="shared" si="4"/>
        <v>11</v>
      </c>
      <c r="J3" s="10">
        <f t="shared" si="5"/>
        <v>3194</v>
      </c>
      <c r="K3" s="10">
        <f t="shared" si="6"/>
        <v>3200</v>
      </c>
      <c r="L3" s="10">
        <f t="shared" si="7"/>
        <v>3100</v>
      </c>
      <c r="M3" s="10"/>
      <c r="N3" s="10"/>
      <c r="O3" s="10"/>
      <c r="P3" s="10"/>
      <c r="Q3" s="10"/>
      <c r="R3" s="10"/>
      <c r="S3" s="10"/>
      <c r="T3" s="10"/>
      <c r="U3" s="10"/>
      <c r="V3" s="10"/>
      <c r="W3" s="10"/>
      <c r="X3" s="10"/>
      <c r="Y3" s="10"/>
    </row>
    <row r="4">
      <c r="A4" s="11">
        <v>3003.0</v>
      </c>
      <c r="B4" s="11" t="s">
        <v>129</v>
      </c>
      <c r="C4" s="11" t="s">
        <v>130</v>
      </c>
      <c r="D4" s="11">
        <v>63374.0</v>
      </c>
      <c r="E4" s="12">
        <v>42505.0</v>
      </c>
      <c r="F4" s="10" t="str">
        <f t="shared" si="1"/>
        <v>Rohan</v>
      </c>
      <c r="G4" s="10">
        <f t="shared" si="2"/>
        <v>63374</v>
      </c>
      <c r="H4" s="10" t="str">
        <f t="shared" si="3"/>
        <v>ROHAN MEHAT</v>
      </c>
      <c r="I4" s="10">
        <f t="shared" si="4"/>
        <v>10</v>
      </c>
      <c r="J4" s="10">
        <f t="shared" si="5"/>
        <v>6337</v>
      </c>
      <c r="K4" s="10">
        <f t="shared" si="6"/>
        <v>6400</v>
      </c>
      <c r="L4" s="10">
        <f t="shared" si="7"/>
        <v>6300</v>
      </c>
      <c r="M4" s="10"/>
      <c r="N4" s="10"/>
      <c r="O4" s="10"/>
      <c r="P4" s="10"/>
      <c r="Q4" s="10"/>
      <c r="R4" s="10"/>
      <c r="S4" s="10"/>
      <c r="T4" s="10"/>
      <c r="U4" s="10"/>
      <c r="V4" s="10"/>
      <c r="W4" s="10"/>
      <c r="X4" s="10"/>
      <c r="Y4" s="10"/>
    </row>
    <row r="5">
      <c r="A5" s="11">
        <v>3004.0</v>
      </c>
      <c r="B5" s="11" t="s">
        <v>131</v>
      </c>
      <c r="C5" s="11" t="s">
        <v>127</v>
      </c>
      <c r="D5" s="11">
        <v>109972.0</v>
      </c>
      <c r="E5" s="12">
        <v>42755.0</v>
      </c>
      <c r="F5" s="10" t="str">
        <f t="shared" si="1"/>
        <v>Priya</v>
      </c>
      <c r="G5" s="10">
        <f t="shared" si="2"/>
        <v>109972</v>
      </c>
      <c r="H5" s="10" t="str">
        <f t="shared" si="3"/>
        <v>PRIYA VERMA </v>
      </c>
      <c r="I5" s="10">
        <f t="shared" si="4"/>
        <v>9</v>
      </c>
      <c r="J5" s="10">
        <f t="shared" si="5"/>
        <v>10997</v>
      </c>
      <c r="K5" s="10">
        <f t="shared" si="6"/>
        <v>11000</v>
      </c>
      <c r="L5" s="10">
        <f t="shared" si="7"/>
        <v>10900</v>
      </c>
      <c r="M5" s="10"/>
      <c r="N5" s="10"/>
      <c r="O5" s="10"/>
      <c r="P5" s="10"/>
      <c r="Q5" s="10"/>
      <c r="R5" s="10"/>
      <c r="S5" s="10"/>
      <c r="T5" s="10"/>
      <c r="U5" s="10"/>
      <c r="V5" s="10"/>
      <c r="W5" s="10"/>
      <c r="X5" s="10"/>
      <c r="Y5" s="10"/>
    </row>
    <row r="6">
      <c r="A6" s="11">
        <v>3005.0</v>
      </c>
      <c r="B6" s="11" t="s">
        <v>132</v>
      </c>
      <c r="C6" s="11" t="s">
        <v>133</v>
      </c>
      <c r="D6" s="11">
        <v>54149.0</v>
      </c>
      <c r="E6" s="12">
        <v>43005.0</v>
      </c>
      <c r="F6" s="10" t="str">
        <f t="shared" si="1"/>
        <v>Vikram</v>
      </c>
      <c r="G6" s="10">
        <f t="shared" si="2"/>
        <v>54149</v>
      </c>
      <c r="H6" s="10" t="str">
        <f t="shared" si="3"/>
        <v>VIKRAM JOSHI</v>
      </c>
      <c r="I6" s="10">
        <f t="shared" si="4"/>
        <v>9</v>
      </c>
      <c r="J6" s="10">
        <f t="shared" si="5"/>
        <v>5415</v>
      </c>
      <c r="K6" s="10">
        <f t="shared" si="6"/>
        <v>5500</v>
      </c>
      <c r="L6" s="10">
        <f t="shared" si="7"/>
        <v>5400</v>
      </c>
      <c r="M6" s="10"/>
      <c r="N6" s="10"/>
      <c r="O6" s="10"/>
      <c r="P6" s="10"/>
      <c r="Q6" s="10"/>
      <c r="R6" s="10"/>
      <c r="S6" s="10"/>
      <c r="T6" s="10"/>
      <c r="U6" s="10"/>
      <c r="V6" s="10"/>
      <c r="W6" s="10"/>
      <c r="X6" s="10"/>
      <c r="Y6" s="10"/>
    </row>
    <row r="7">
      <c r="A7" s="11">
        <v>3006.0</v>
      </c>
      <c r="B7" s="11" t="s">
        <v>134</v>
      </c>
      <c r="C7" s="11" t="s">
        <v>133</v>
      </c>
      <c r="D7" s="11">
        <v>78689.0</v>
      </c>
      <c r="E7" s="12">
        <v>43255.0</v>
      </c>
      <c r="F7" s="10" t="str">
        <f t="shared" si="1"/>
        <v>Sneha</v>
      </c>
      <c r="G7" s="10">
        <f t="shared" si="2"/>
        <v>78689</v>
      </c>
      <c r="H7" s="10" t="str">
        <f t="shared" si="3"/>
        <v>SNEHA KULKARNI</v>
      </c>
      <c r="I7" s="10">
        <f t="shared" si="4"/>
        <v>8</v>
      </c>
      <c r="J7" s="10">
        <f t="shared" si="5"/>
        <v>7869</v>
      </c>
      <c r="K7" s="10">
        <f t="shared" si="6"/>
        <v>7900</v>
      </c>
      <c r="L7" s="10">
        <f t="shared" si="7"/>
        <v>7800</v>
      </c>
      <c r="M7" s="10"/>
      <c r="N7" s="10"/>
      <c r="O7" s="10"/>
      <c r="P7" s="10"/>
      <c r="Q7" s="10"/>
      <c r="R7" s="10"/>
      <c r="S7" s="10"/>
      <c r="T7" s="10"/>
      <c r="U7" s="10"/>
      <c r="V7" s="10"/>
      <c r="W7" s="10"/>
      <c r="X7" s="10"/>
      <c r="Y7" s="10"/>
    </row>
    <row r="8">
      <c r="A8" s="11">
        <v>3007.0</v>
      </c>
      <c r="B8" s="11" t="s">
        <v>135</v>
      </c>
      <c r="C8" s="11" t="s">
        <v>136</v>
      </c>
      <c r="D8" s="11">
        <v>35960.0</v>
      </c>
      <c r="E8" s="12">
        <v>43505.0</v>
      </c>
      <c r="F8" s="10" t="str">
        <f t="shared" si="1"/>
        <v>Aditya</v>
      </c>
      <c r="G8" s="10">
        <f t="shared" si="2"/>
        <v>35960</v>
      </c>
      <c r="H8" s="10" t="str">
        <f t="shared" si="3"/>
        <v>ADITYA RAO</v>
      </c>
      <c r="I8" s="10">
        <f t="shared" si="4"/>
        <v>7</v>
      </c>
      <c r="J8" s="10">
        <f t="shared" si="5"/>
        <v>3596</v>
      </c>
      <c r="K8" s="10">
        <f t="shared" si="6"/>
        <v>3600</v>
      </c>
      <c r="L8" s="10">
        <f t="shared" si="7"/>
        <v>3500</v>
      </c>
      <c r="M8" s="10"/>
      <c r="N8" s="10"/>
      <c r="O8" s="10"/>
      <c r="P8" s="10"/>
      <c r="Q8" s="10"/>
      <c r="R8" s="10"/>
      <c r="S8" s="10"/>
      <c r="T8" s="10"/>
      <c r="U8" s="10"/>
      <c r="V8" s="10"/>
      <c r="W8" s="10"/>
      <c r="X8" s="10"/>
      <c r="Y8" s="10"/>
    </row>
    <row r="9">
      <c r="A9" s="11">
        <v>3008.0</v>
      </c>
      <c r="B9" s="11" t="s">
        <v>137</v>
      </c>
      <c r="C9" s="11" t="s">
        <v>133</v>
      </c>
      <c r="D9" s="11">
        <v>91659.0</v>
      </c>
      <c r="E9" s="12">
        <v>43755.0</v>
      </c>
      <c r="F9" s="10" t="str">
        <f t="shared" si="1"/>
        <v>Kavya</v>
      </c>
      <c r="G9" s="10">
        <f t="shared" si="2"/>
        <v>91659</v>
      </c>
      <c r="H9" s="10" t="str">
        <f t="shared" si="3"/>
        <v>KAVYA IYER</v>
      </c>
      <c r="I9" s="10">
        <f t="shared" si="4"/>
        <v>7</v>
      </c>
      <c r="J9" s="10">
        <f t="shared" si="5"/>
        <v>9166</v>
      </c>
      <c r="K9" s="10">
        <f t="shared" si="6"/>
        <v>9200</v>
      </c>
      <c r="L9" s="10">
        <f t="shared" si="7"/>
        <v>9100</v>
      </c>
      <c r="M9" s="10"/>
      <c r="N9" s="10"/>
      <c r="O9" s="10"/>
      <c r="P9" s="10"/>
      <c r="Q9" s="10"/>
      <c r="R9" s="10"/>
      <c r="S9" s="10"/>
      <c r="T9" s="10"/>
      <c r="U9" s="10"/>
      <c r="V9" s="10"/>
      <c r="W9" s="10"/>
      <c r="X9" s="10"/>
      <c r="Y9" s="10"/>
    </row>
    <row r="10">
      <c r="A10" s="11">
        <v>3009.0</v>
      </c>
      <c r="B10" s="11" t="s">
        <v>138</v>
      </c>
      <c r="C10" s="11" t="s">
        <v>133</v>
      </c>
      <c r="D10" s="11">
        <v>90423.0</v>
      </c>
      <c r="E10" s="12">
        <v>44005.0</v>
      </c>
      <c r="F10" s="10" t="str">
        <f t="shared" si="1"/>
        <v>Siddharth</v>
      </c>
      <c r="G10" s="10">
        <f t="shared" si="2"/>
        <v>90423</v>
      </c>
      <c r="H10" s="10" t="str">
        <f t="shared" si="3"/>
        <v>SIDDHARTH NAIR</v>
      </c>
      <c r="I10" s="10">
        <f t="shared" si="4"/>
        <v>6</v>
      </c>
      <c r="J10" s="10">
        <f t="shared" si="5"/>
        <v>9042</v>
      </c>
      <c r="K10" s="10">
        <f t="shared" si="6"/>
        <v>9100</v>
      </c>
      <c r="L10" s="10">
        <f t="shared" si="7"/>
        <v>9000</v>
      </c>
      <c r="M10" s="10"/>
      <c r="N10" s="10"/>
      <c r="O10" s="10"/>
      <c r="P10" s="10"/>
      <c r="Q10" s="10"/>
      <c r="R10" s="10"/>
      <c r="S10" s="10"/>
      <c r="T10" s="10"/>
      <c r="U10" s="10"/>
      <c r="V10" s="10"/>
      <c r="W10" s="10"/>
      <c r="X10" s="10"/>
      <c r="Y10" s="10"/>
    </row>
    <row r="11">
      <c r="A11" s="11">
        <v>3010.0</v>
      </c>
      <c r="B11" s="11" t="s">
        <v>139</v>
      </c>
      <c r="C11" s="11" t="s">
        <v>130</v>
      </c>
      <c r="D11" s="11">
        <v>107877.0</v>
      </c>
      <c r="E11" s="12">
        <v>44255.0</v>
      </c>
      <c r="F11" s="10" t="str">
        <f t="shared" si="1"/>
        <v>Pooja</v>
      </c>
      <c r="G11" s="10">
        <f t="shared" si="2"/>
        <v>107877</v>
      </c>
      <c r="H11" s="10" t="str">
        <f t="shared" si="3"/>
        <v>POOJA GUPTA</v>
      </c>
      <c r="I11" s="10">
        <f t="shared" si="4"/>
        <v>5</v>
      </c>
      <c r="J11" s="10">
        <f t="shared" si="5"/>
        <v>10788</v>
      </c>
      <c r="K11" s="10">
        <f t="shared" si="6"/>
        <v>10800</v>
      </c>
      <c r="L11" s="10">
        <f t="shared" si="7"/>
        <v>10700</v>
      </c>
      <c r="M11" s="10"/>
      <c r="N11" s="10"/>
      <c r="O11" s="10"/>
      <c r="P11" s="10"/>
      <c r="Q11" s="10"/>
      <c r="R11" s="10"/>
      <c r="S11" s="10"/>
      <c r="T11" s="10"/>
      <c r="U11" s="10"/>
      <c r="V11" s="10"/>
      <c r="W11" s="10"/>
      <c r="X11" s="10"/>
      <c r="Y11" s="10"/>
    </row>
    <row r="12">
      <c r="A12" s="11">
        <v>3011.0</v>
      </c>
      <c r="B12" s="11" t="s">
        <v>140</v>
      </c>
      <c r="C12" s="11" t="s">
        <v>127</v>
      </c>
      <c r="D12" s="11">
        <v>107634.0</v>
      </c>
      <c r="E12" s="12">
        <v>44505.0</v>
      </c>
      <c r="F12" s="10" t="str">
        <f t="shared" si="1"/>
        <v>Rahul</v>
      </c>
      <c r="G12" s="10">
        <f t="shared" si="2"/>
        <v>107634</v>
      </c>
      <c r="H12" s="10" t="str">
        <f t="shared" si="3"/>
        <v>RAHUL DESHMUKH</v>
      </c>
      <c r="I12" s="10">
        <f t="shared" si="4"/>
        <v>4</v>
      </c>
      <c r="J12" s="10">
        <f t="shared" si="5"/>
        <v>10763</v>
      </c>
      <c r="K12" s="10">
        <f t="shared" si="6"/>
        <v>10800</v>
      </c>
      <c r="L12" s="10">
        <f t="shared" si="7"/>
        <v>10700</v>
      </c>
      <c r="M12" s="10"/>
      <c r="N12" s="10"/>
      <c r="O12" s="10"/>
      <c r="P12" s="10"/>
      <c r="Q12" s="10"/>
      <c r="R12" s="10"/>
      <c r="S12" s="10"/>
      <c r="T12" s="10"/>
      <c r="U12" s="10"/>
      <c r="V12" s="10"/>
      <c r="W12" s="10"/>
      <c r="X12" s="10"/>
      <c r="Y12" s="10"/>
    </row>
    <row r="13">
      <c r="A13" s="11">
        <v>3012.0</v>
      </c>
      <c r="B13" s="11" t="s">
        <v>141</v>
      </c>
      <c r="C13" s="11" t="s">
        <v>127</v>
      </c>
      <c r="D13" s="11">
        <v>35226.0</v>
      </c>
      <c r="E13" s="12">
        <v>44755.0</v>
      </c>
      <c r="F13" s="10" t="str">
        <f t="shared" si="1"/>
        <v>Neha</v>
      </c>
      <c r="G13" s="10">
        <f t="shared" si="2"/>
        <v>35226</v>
      </c>
      <c r="H13" s="10" t="str">
        <f t="shared" si="3"/>
        <v>NEHA AGRAWAL</v>
      </c>
      <c r="I13" s="10">
        <f t="shared" si="4"/>
        <v>4</v>
      </c>
      <c r="J13" s="10">
        <f t="shared" si="5"/>
        <v>3523</v>
      </c>
      <c r="K13" s="10">
        <f t="shared" si="6"/>
        <v>3600</v>
      </c>
      <c r="L13" s="10">
        <f t="shared" si="7"/>
        <v>3500</v>
      </c>
      <c r="M13" s="10"/>
      <c r="N13" s="10"/>
      <c r="O13" s="10"/>
      <c r="P13" s="10"/>
      <c r="Q13" s="10"/>
      <c r="R13" s="10"/>
      <c r="S13" s="10"/>
      <c r="T13" s="10"/>
      <c r="U13" s="10"/>
      <c r="V13" s="10"/>
      <c r="W13" s="10"/>
      <c r="X13" s="10"/>
      <c r="Y13" s="10"/>
    </row>
    <row r="14">
      <c r="A14" s="11">
        <v>3013.0</v>
      </c>
      <c r="B14" s="11" t="s">
        <v>142</v>
      </c>
      <c r="C14" s="11" t="s">
        <v>130</v>
      </c>
      <c r="D14" s="11">
        <v>40872.0</v>
      </c>
      <c r="E14" s="12">
        <v>45005.0</v>
      </c>
      <c r="F14" s="10" t="str">
        <f t="shared" si="1"/>
        <v>Varun</v>
      </c>
      <c r="G14" s="10">
        <f t="shared" si="2"/>
        <v>40872</v>
      </c>
      <c r="H14" s="10" t="str">
        <f t="shared" si="3"/>
        <v>VARUN MALHOTRA</v>
      </c>
      <c r="I14" s="10">
        <f t="shared" si="4"/>
        <v>3</v>
      </c>
      <c r="J14" s="10">
        <f t="shared" si="5"/>
        <v>4087</v>
      </c>
      <c r="K14" s="10">
        <f t="shared" si="6"/>
        <v>4100</v>
      </c>
      <c r="L14" s="10">
        <f t="shared" si="7"/>
        <v>4000</v>
      </c>
      <c r="M14" s="10"/>
      <c r="N14" s="10"/>
      <c r="O14" s="10"/>
      <c r="P14" s="10"/>
      <c r="Q14" s="10"/>
      <c r="R14" s="10"/>
      <c r="S14" s="10"/>
      <c r="T14" s="10"/>
      <c r="U14" s="10"/>
      <c r="V14" s="10"/>
      <c r="W14" s="10"/>
      <c r="X14" s="10"/>
      <c r="Y14" s="10"/>
    </row>
    <row r="15">
      <c r="A15" s="11">
        <v>3014.0</v>
      </c>
      <c r="B15" s="11" t="s">
        <v>143</v>
      </c>
      <c r="C15" s="11" t="s">
        <v>130</v>
      </c>
      <c r="D15" s="11">
        <v>55378.0</v>
      </c>
      <c r="E15" s="12">
        <v>45255.0</v>
      </c>
      <c r="F15" s="10" t="str">
        <f t="shared" si="1"/>
        <v>Riya</v>
      </c>
      <c r="G15" s="10">
        <f t="shared" si="2"/>
        <v>55378</v>
      </c>
      <c r="H15" s="10" t="str">
        <f t="shared" si="3"/>
        <v>RIYA KAPOOR</v>
      </c>
      <c r="I15" s="10">
        <f t="shared" si="4"/>
        <v>2</v>
      </c>
      <c r="J15" s="10">
        <f t="shared" si="5"/>
        <v>5538</v>
      </c>
      <c r="K15" s="10">
        <f t="shared" si="6"/>
        <v>5600</v>
      </c>
      <c r="L15" s="10">
        <f t="shared" si="7"/>
        <v>5500</v>
      </c>
      <c r="M15" s="10"/>
      <c r="N15" s="10"/>
      <c r="O15" s="10"/>
      <c r="P15" s="10"/>
      <c r="Q15" s="10"/>
      <c r="R15" s="10"/>
      <c r="S15" s="10"/>
      <c r="T15" s="10"/>
      <c r="U15" s="10"/>
      <c r="V15" s="10"/>
      <c r="W15" s="10"/>
      <c r="X15" s="10"/>
      <c r="Y15" s="10"/>
    </row>
    <row r="16">
      <c r="A16" s="11">
        <v>3015.0</v>
      </c>
      <c r="B16" s="11" t="s">
        <v>144</v>
      </c>
      <c r="C16" s="11" t="s">
        <v>130</v>
      </c>
      <c r="D16" s="11">
        <v>63297.0</v>
      </c>
      <c r="E16" s="12">
        <v>45505.0</v>
      </c>
      <c r="F16" s="10" t="str">
        <f t="shared" si="1"/>
        <v>Arjun</v>
      </c>
      <c r="G16" s="10">
        <f t="shared" si="2"/>
        <v>63297</v>
      </c>
      <c r="H16" s="10" t="str">
        <f t="shared" si="3"/>
        <v>ARJUN SINGH </v>
      </c>
      <c r="I16" s="10">
        <f t="shared" si="4"/>
        <v>2</v>
      </c>
      <c r="J16" s="10">
        <f t="shared" si="5"/>
        <v>6330</v>
      </c>
      <c r="K16" s="10">
        <f t="shared" si="6"/>
        <v>6400</v>
      </c>
      <c r="L16" s="10">
        <f t="shared" si="7"/>
        <v>6300</v>
      </c>
      <c r="M16" s="10"/>
      <c r="N16" s="10"/>
      <c r="O16" s="10"/>
      <c r="P16" s="10"/>
      <c r="Q16" s="10"/>
      <c r="R16" s="10"/>
      <c r="S16" s="10"/>
      <c r="T16" s="10"/>
      <c r="U16" s="10"/>
      <c r="V16" s="10"/>
      <c r="W16" s="10"/>
      <c r="X16" s="10"/>
      <c r="Y16" s="10"/>
    </row>
    <row r="17">
      <c r="A17" s="11">
        <v>3016.0</v>
      </c>
      <c r="B17" s="11" t="s">
        <v>145</v>
      </c>
      <c r="C17" s="11" t="s">
        <v>127</v>
      </c>
      <c r="D17" s="11">
        <v>114173.0</v>
      </c>
      <c r="E17" s="12">
        <v>45755.0</v>
      </c>
      <c r="F17" s="10" t="str">
        <f t="shared" si="1"/>
        <v>Meera</v>
      </c>
      <c r="G17" s="10">
        <f t="shared" si="2"/>
        <v>114173</v>
      </c>
      <c r="H17" s="10" t="str">
        <f t="shared" si="3"/>
        <v>MEERA REDDY</v>
      </c>
      <c r="I17" s="10">
        <f t="shared" si="4"/>
        <v>1</v>
      </c>
      <c r="J17" s="10">
        <f t="shared" si="5"/>
        <v>11417</v>
      </c>
      <c r="K17" s="10">
        <f t="shared" si="6"/>
        <v>11500</v>
      </c>
      <c r="L17" s="10">
        <f t="shared" si="7"/>
        <v>11400</v>
      </c>
      <c r="M17" s="10"/>
      <c r="N17" s="10"/>
      <c r="O17" s="10"/>
      <c r="P17" s="10"/>
      <c r="Q17" s="10"/>
      <c r="R17" s="10"/>
      <c r="S17" s="10"/>
      <c r="T17" s="10"/>
      <c r="U17" s="10"/>
      <c r="V17" s="10"/>
      <c r="W17" s="10"/>
      <c r="X17" s="10"/>
      <c r="Y17" s="10"/>
    </row>
    <row r="18">
      <c r="A18" s="11">
        <v>3017.0</v>
      </c>
      <c r="B18" s="11" t="s">
        <v>146</v>
      </c>
      <c r="C18" s="11" t="s">
        <v>130</v>
      </c>
      <c r="D18" s="11">
        <v>86915.0</v>
      </c>
      <c r="E18" s="12">
        <v>46005.0</v>
      </c>
      <c r="F18" s="10" t="str">
        <f t="shared" si="1"/>
        <v>Karan</v>
      </c>
      <c r="G18" s="10">
        <f t="shared" si="2"/>
        <v>86915</v>
      </c>
      <c r="H18" s="10" t="str">
        <f t="shared" si="3"/>
        <v>KARAN BHATIA</v>
      </c>
      <c r="I18" s="10">
        <f t="shared" si="4"/>
        <v>0</v>
      </c>
      <c r="J18" s="10">
        <f t="shared" si="5"/>
        <v>8692</v>
      </c>
      <c r="K18" s="10">
        <f t="shared" si="6"/>
        <v>8700</v>
      </c>
      <c r="L18" s="10">
        <f t="shared" si="7"/>
        <v>8600</v>
      </c>
      <c r="M18" s="10"/>
      <c r="N18" s="10"/>
      <c r="O18" s="10"/>
      <c r="P18" s="10"/>
      <c r="Q18" s="10"/>
      <c r="R18" s="10"/>
      <c r="S18" s="10"/>
      <c r="T18" s="10"/>
      <c r="U18" s="10"/>
      <c r="V18" s="10"/>
      <c r="W18" s="10"/>
      <c r="X18" s="10"/>
      <c r="Y18" s="10"/>
    </row>
    <row r="19">
      <c r="A19" s="11">
        <v>3018.0</v>
      </c>
      <c r="B19" s="11" t="s">
        <v>147</v>
      </c>
      <c r="C19" s="11" t="s">
        <v>133</v>
      </c>
      <c r="D19" s="11">
        <v>116284.0</v>
      </c>
      <c r="E19" s="12">
        <v>46255.0</v>
      </c>
      <c r="F19" s="10" t="str">
        <f t="shared" si="1"/>
        <v>Ishita</v>
      </c>
      <c r="G19" s="10">
        <f t="shared" si="2"/>
        <v>116284</v>
      </c>
      <c r="H19" s="10" t="str">
        <f t="shared" si="3"/>
        <v>ISHITA SHAH</v>
      </c>
      <c r="I19" s="10">
        <f t="shared" si="4"/>
        <v>0</v>
      </c>
      <c r="J19" s="10">
        <f t="shared" si="5"/>
        <v>11628</v>
      </c>
      <c r="K19" s="10">
        <f t="shared" si="6"/>
        <v>11700</v>
      </c>
      <c r="L19" s="10">
        <f t="shared" si="7"/>
        <v>11600</v>
      </c>
      <c r="M19" s="10"/>
      <c r="N19" s="10"/>
      <c r="O19" s="10"/>
      <c r="P19" s="10"/>
      <c r="Q19" s="10"/>
      <c r="R19" s="10"/>
      <c r="S19" s="10"/>
      <c r="T19" s="10"/>
      <c r="U19" s="10"/>
      <c r="V19" s="10"/>
      <c r="W19" s="10"/>
      <c r="X19" s="10"/>
      <c r="Y19" s="10"/>
    </row>
    <row r="20">
      <c r="A20" s="11">
        <v>3019.0</v>
      </c>
      <c r="B20" s="11" t="s">
        <v>148</v>
      </c>
      <c r="C20" s="11" t="s">
        <v>136</v>
      </c>
      <c r="D20" s="11">
        <v>116283.0</v>
      </c>
      <c r="E20" s="12">
        <v>46505.0</v>
      </c>
      <c r="F20" s="10" t="str">
        <f t="shared" si="1"/>
        <v>Davendra</v>
      </c>
      <c r="G20" s="10">
        <f t="shared" si="2"/>
        <v>116283</v>
      </c>
      <c r="H20" s="10" t="str">
        <f t="shared" si="3"/>
        <v>DAVENDRA PANDEY</v>
      </c>
      <c r="I20" s="10" t="str">
        <f t="shared" si="4"/>
        <v>#NUM!</v>
      </c>
      <c r="J20" s="10">
        <f t="shared" si="5"/>
        <v>11628</v>
      </c>
      <c r="K20" s="10">
        <f t="shared" si="6"/>
        <v>11700</v>
      </c>
      <c r="L20" s="10">
        <f t="shared" si="7"/>
        <v>11600</v>
      </c>
      <c r="M20" s="10"/>
      <c r="N20" s="10"/>
      <c r="O20" s="10"/>
      <c r="P20" s="10"/>
      <c r="Q20" s="10"/>
      <c r="R20" s="10"/>
      <c r="S20" s="10"/>
      <c r="T20" s="10"/>
      <c r="U20" s="10"/>
      <c r="V20" s="10"/>
      <c r="W20" s="10"/>
      <c r="X20" s="10"/>
      <c r="Y20" s="10"/>
    </row>
    <row r="21" ht="15.75" customHeight="1">
      <c r="A21" s="11">
        <v>3020.0</v>
      </c>
      <c r="B21" s="11" t="s">
        <v>149</v>
      </c>
      <c r="C21" s="11" t="s">
        <v>136</v>
      </c>
      <c r="D21" s="11">
        <v>99924.0</v>
      </c>
      <c r="E21" s="12">
        <v>46755.0</v>
      </c>
      <c r="F21" s="10" t="str">
        <f t="shared" si="1"/>
        <v>Simran</v>
      </c>
      <c r="G21" s="10">
        <f t="shared" si="2"/>
        <v>99924</v>
      </c>
      <c r="H21" s="10" t="str">
        <f t="shared" si="3"/>
        <v>SIMRAN SAXENA</v>
      </c>
      <c r="I21" s="10" t="str">
        <f t="shared" si="4"/>
        <v>#NUM!</v>
      </c>
      <c r="J21" s="10">
        <f t="shared" si="5"/>
        <v>9992</v>
      </c>
      <c r="K21" s="10">
        <f t="shared" si="6"/>
        <v>10000</v>
      </c>
      <c r="L21" s="10">
        <f t="shared" si="7"/>
        <v>9900</v>
      </c>
      <c r="M21" s="10"/>
      <c r="N21" s="10"/>
      <c r="O21" s="10"/>
      <c r="P21" s="10"/>
      <c r="Q21" s="10"/>
      <c r="R21" s="10"/>
      <c r="S21" s="10"/>
      <c r="T21" s="10"/>
      <c r="U21" s="10"/>
      <c r="V21" s="10"/>
      <c r="W21" s="10"/>
      <c r="X21" s="10"/>
      <c r="Y21" s="10"/>
    </row>
    <row r="22"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row>
    <row r="23"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row>
    <row r="24"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row>
    <row r="25"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row>
    <row r="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row>
    <row r="27"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row>
    <row r="29"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row>
    <row r="30"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row>
    <row r="31"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row>
    <row r="32"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row>
    <row r="33"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row>
    <row r="34"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row>
    <row r="35"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row>
    <row r="3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row>
    <row r="37"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row>
    <row r="38"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row>
    <row r="39"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row>
    <row r="40"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row>
    <row r="41"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row>
    <row r="42"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row>
    <row r="43"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row>
    <row r="44"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row>
    <row r="45"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row>
    <row r="4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row>
    <row r="47"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row>
    <row r="48"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row>
    <row r="49"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row>
    <row r="50"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row>
    <row r="51"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row>
    <row r="52"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row>
    <row r="53"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row>
    <row r="54"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row>
    <row r="55"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row>
    <row r="5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row>
    <row r="57"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row>
    <row r="58"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row>
    <row r="59"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row>
    <row r="60"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row>
    <row r="61"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row>
    <row r="62"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row>
    <row r="63"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row>
    <row r="64"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row>
    <row r="65"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row>
    <row r="6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row>
    <row r="67"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row>
    <row r="68"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row>
    <row r="69"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row>
    <row r="70"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row>
    <row r="71"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row>
    <row r="72"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row>
    <row r="73"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row>
    <row r="74"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row>
    <row r="75"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row>
    <row r="7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row>
    <row r="77"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row>
    <row r="78"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row>
    <row r="79"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row>
    <row r="80"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row>
    <row r="81"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row>
    <row r="82"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row>
    <row r="83"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row>
    <row r="84"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row>
    <row r="85"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row>
    <row r="8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row>
    <row r="87"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row>
    <row r="88"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row>
    <row r="89"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row>
    <row r="90"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row>
    <row r="91"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row>
    <row r="92"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row>
    <row r="93"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row>
    <row r="94"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row>
    <row r="95"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row>
    <row r="9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row>
    <row r="97"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row>
    <row r="98"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row>
    <row r="99"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row>
    <row r="100"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row>
    <row r="101"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row>
    <row r="102"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row>
    <row r="103"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row>
    <row r="104"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row>
    <row r="105"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row>
    <row r="10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row>
    <row r="107"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row>
    <row r="117"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row>
    <row r="118"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row>
    <row r="119"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row>
    <row r="120"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row>
    <row r="121"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row>
    <row r="122"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row>
    <row r="123"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row>
    <row r="124"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row>
    <row r="125"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row>
    <row r="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row>
    <row r="127"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row>
    <row r="128"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row>
    <row r="129"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row>
    <row r="130"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row>
    <row r="131"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row>
    <row r="132"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row>
    <row r="133"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row>
    <row r="134"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row>
    <row r="135"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row>
    <row r="13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row>
    <row r="137"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row>
    <row r="138"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row>
    <row r="139"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row>
    <row r="140"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row>
    <row r="141"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row>
    <row r="142"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row>
    <row r="143"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row>
    <row r="144"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row>
    <row r="145"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row>
    <row r="14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row>
    <row r="147"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row>
    <row r="148"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row>
    <row r="149"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row>
    <row r="150"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row>
    <row r="151"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row>
    <row r="152"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row>
    <row r="153"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row>
    <row r="154"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row>
    <row r="155"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row>
    <row r="15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row>
    <row r="157"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row>
    <row r="158"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row>
    <row r="159"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row>
    <row r="160"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row>
    <row r="161"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row>
    <row r="162"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row>
    <row r="163"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row>
    <row r="164"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row>
    <row r="165"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row>
    <row r="16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row>
    <row r="167"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row>
    <row r="168"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row>
    <row r="169"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row>
    <row r="170"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row>
    <row r="171"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row>
    <row r="172"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row>
    <row r="173"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row>
    <row r="174"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row>
    <row r="175"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row>
    <row r="17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row>
    <row r="177"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row>
    <row r="178"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row>
    <row r="179"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row>
    <row r="180"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row>
    <row r="181"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row>
    <row r="182"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row>
    <row r="183"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row>
    <row r="184"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row>
    <row r="185"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row>
    <row r="18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row>
    <row r="187"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row>
    <row r="188"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row>
    <row r="189"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row>
    <row r="190"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row>
    <row r="191"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row>
    <row r="192"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row>
    <row r="193"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row>
    <row r="194"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row>
    <row r="195"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row>
    <row r="19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row>
    <row r="197"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row>
    <row r="198"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row>
    <row r="199"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row>
    <row r="200"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row>
    <row r="201"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row>
    <row r="202"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row>
    <row r="203"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row>
    <row r="204"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row>
    <row r="205"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row>
    <row r="20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row>
    <row r="207"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row>
    <row r="208"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row>
    <row r="209"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row>
    <row r="210"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row>
    <row r="211"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row>
    <row r="212"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row>
    <row r="213"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row>
    <row r="214"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row>
    <row r="215"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row>
    <row r="21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row>
    <row r="217"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row>
    <row r="218"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row>
    <row r="219"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row>
  </sheetData>
  <printOptions/>
  <pageMargins bottom="1.0" footer="0.0" header="0.0" left="0.75" right="0.75" top="1.0"/>
  <pageSetup orientation="landscape"/>
  <drawing r:id="rId1"/>
</worksheet>
</file>